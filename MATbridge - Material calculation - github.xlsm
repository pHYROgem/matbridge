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Denne_projektmappe" defaultThemeVersion="166925"/>
  <mc:AlternateContent xmlns:mc="http://schemas.openxmlformats.org/markup-compatibility/2006">
    <mc:Choice Requires="x15">
      <x15ac:absPath xmlns:x15ac="http://schemas.microsoft.com/office/spreadsheetml/2010/11/ac" url="https://studkea-my.sharepoint.com/personal/dinj_kea_dk/Documents/MatBridge/"/>
    </mc:Choice>
  </mc:AlternateContent>
  <xr:revisionPtr revIDLastSave="291" documentId="8_{3F54FC32-F2EB-4D9F-8FCB-9DA41B169FAD}" xr6:coauthVersionLast="47" xr6:coauthVersionMax="47" xr10:uidLastSave="{FA7B3B1C-2E7A-43FD-9D04-0115B0A4C265}"/>
  <bookViews>
    <workbookView xWindow="-110" yWindow="-110" windowWidth="25820" windowHeight="15620" xr2:uid="{31640EA7-C893-47AB-89D6-D267194ED033}"/>
  </bookViews>
  <sheets>
    <sheet name="UI" sheetId="6" r:id="rId1"/>
    <sheet name="LIST" sheetId="7" r:id="rId2"/>
  </sheets>
  <definedNames>
    <definedName name="dropdown">LIST!$A$8:$B$22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7" i="6" l="1"/>
  <c r="U8" i="6"/>
  <c r="F8" i="6" s="1"/>
  <c r="U9" i="6"/>
  <c r="F9" i="6" s="1"/>
  <c r="U10" i="6"/>
  <c r="F10" i="6" s="1"/>
  <c r="U11" i="6"/>
  <c r="F11" i="6" s="1"/>
  <c r="U12" i="6"/>
  <c r="U6" i="6"/>
  <c r="U4" i="6"/>
  <c r="U19" i="6"/>
  <c r="U20" i="6"/>
  <c r="U21" i="6"/>
  <c r="U22" i="6"/>
  <c r="U23" i="6"/>
  <c r="U24" i="6"/>
  <c r="U25" i="6"/>
  <c r="U17" i="6"/>
  <c r="F20" i="6"/>
  <c r="F24" i="6"/>
  <c r="T18" i="6"/>
  <c r="T19" i="6"/>
  <c r="T20" i="6"/>
  <c r="T21" i="6"/>
  <c r="T22" i="6"/>
  <c r="T23" i="6"/>
  <c r="T24" i="6"/>
  <c r="T25" i="6"/>
  <c r="S18" i="6"/>
  <c r="S19" i="6"/>
  <c r="S20" i="6"/>
  <c r="S21" i="6"/>
  <c r="S22" i="6"/>
  <c r="S23" i="6"/>
  <c r="S24" i="6"/>
  <c r="S25" i="6"/>
  <c r="S17" i="6"/>
  <c r="R18" i="6"/>
  <c r="R19" i="6"/>
  <c r="R20" i="6"/>
  <c r="R21" i="6"/>
  <c r="R22" i="6"/>
  <c r="R23" i="6"/>
  <c r="R24" i="6"/>
  <c r="R25" i="6"/>
  <c r="P19" i="6"/>
  <c r="P20" i="6"/>
  <c r="P21" i="6"/>
  <c r="P22" i="6"/>
  <c r="P23" i="6"/>
  <c r="P24" i="6"/>
  <c r="P25" i="6"/>
  <c r="O18" i="6"/>
  <c r="O19" i="6"/>
  <c r="O20" i="6"/>
  <c r="O21" i="6"/>
  <c r="O22" i="6"/>
  <c r="O23" i="6"/>
  <c r="O24" i="6"/>
  <c r="O25" i="6"/>
  <c r="O17" i="6"/>
  <c r="O16" i="6"/>
  <c r="Q18" i="6"/>
  <c r="Q19" i="6"/>
  <c r="Q20" i="6"/>
  <c r="Q21" i="6"/>
  <c r="Q22" i="6"/>
  <c r="Q23" i="6"/>
  <c r="Q24" i="6"/>
  <c r="Q25" i="6"/>
  <c r="Q17" i="6"/>
  <c r="Q16" i="6"/>
  <c r="L18" i="6"/>
  <c r="N20" i="6"/>
  <c r="N21" i="6"/>
  <c r="N22" i="6"/>
  <c r="N23" i="6"/>
  <c r="N24" i="6"/>
  <c r="N7" i="6"/>
  <c r="N8" i="6"/>
  <c r="N9" i="6"/>
  <c r="N10" i="6"/>
  <c r="N11" i="6"/>
  <c r="M7" i="6"/>
  <c r="M8" i="6"/>
  <c r="M9" i="6"/>
  <c r="M10" i="6"/>
  <c r="M11" i="6"/>
  <c r="L7" i="6"/>
  <c r="L8" i="6"/>
  <c r="L9" i="6"/>
  <c r="L10" i="6"/>
  <c r="L11" i="6"/>
  <c r="M20" i="6"/>
  <c r="M21" i="6"/>
  <c r="M22" i="6"/>
  <c r="M23" i="6"/>
  <c r="M24" i="6"/>
  <c r="L20" i="6"/>
  <c r="L21" i="6"/>
  <c r="L22" i="6"/>
  <c r="L23" i="6"/>
  <c r="L24" i="6"/>
  <c r="K20" i="6"/>
  <c r="K21" i="6"/>
  <c r="K22" i="6"/>
  <c r="K23" i="6"/>
  <c r="K24" i="6"/>
  <c r="A23" i="6"/>
  <c r="B23" i="6"/>
  <c r="C23" i="6"/>
  <c r="D23" i="6"/>
  <c r="F23" i="6"/>
  <c r="G23" i="6"/>
  <c r="H23" i="6"/>
  <c r="I23" i="6"/>
  <c r="A21" i="6"/>
  <c r="B21" i="6"/>
  <c r="C21" i="6"/>
  <c r="D21" i="6"/>
  <c r="F21" i="6"/>
  <c r="G21" i="6"/>
  <c r="H21" i="6"/>
  <c r="I21" i="6"/>
  <c r="A22" i="6"/>
  <c r="B22" i="6"/>
  <c r="C22" i="6"/>
  <c r="D22" i="6"/>
  <c r="F22" i="6"/>
  <c r="G22" i="6"/>
  <c r="H22" i="6"/>
  <c r="I22" i="6"/>
  <c r="K7" i="6"/>
  <c r="K8" i="6"/>
  <c r="K9" i="6"/>
  <c r="K10" i="6"/>
  <c r="K11" i="6"/>
  <c r="A20" i="6"/>
  <c r="B20" i="6"/>
  <c r="C20" i="6"/>
  <c r="D20" i="6"/>
  <c r="G20" i="6"/>
  <c r="H20" i="6"/>
  <c r="I20" i="6"/>
  <c r="A24" i="6"/>
  <c r="B24" i="6"/>
  <c r="C24" i="6"/>
  <c r="D24" i="6"/>
  <c r="G24" i="6"/>
  <c r="H24" i="6"/>
  <c r="I24" i="6"/>
  <c r="F7" i="6"/>
  <c r="G13" i="6"/>
  <c r="G16" i="6" l="1"/>
  <c r="E13" i="6"/>
  <c r="B20" i="7"/>
  <c r="B21" i="7"/>
  <c r="B19" i="7"/>
  <c r="B18" i="7"/>
  <c r="B17" i="7"/>
  <c r="B16" i="7"/>
  <c r="B15" i="7"/>
  <c r="B14" i="7"/>
  <c r="B13" i="7"/>
  <c r="B12" i="7"/>
  <c r="B11" i="7"/>
  <c r="B10" i="7"/>
  <c r="B9" i="7"/>
  <c r="S16" i="6"/>
  <c r="T17" i="6"/>
  <c r="T16" i="6"/>
  <c r="R17" i="6"/>
  <c r="R16" i="6"/>
  <c r="M12" i="6"/>
  <c r="M6" i="6"/>
  <c r="M5" i="6"/>
  <c r="M4" i="6"/>
  <c r="M3" i="6"/>
  <c r="P18" i="6"/>
  <c r="P17" i="6"/>
  <c r="P16" i="6"/>
  <c r="N18" i="6"/>
  <c r="N19" i="6"/>
  <c r="N25" i="6"/>
  <c r="N17" i="6"/>
  <c r="N16" i="6"/>
  <c r="M18" i="6"/>
  <c r="M19" i="6"/>
  <c r="M25" i="6"/>
  <c r="M17" i="6"/>
  <c r="M16" i="6"/>
  <c r="K17" i="6"/>
  <c r="K18" i="6"/>
  <c r="K19" i="6"/>
  <c r="K25" i="6"/>
  <c r="L25" i="6"/>
  <c r="L19" i="6"/>
  <c r="L17" i="6"/>
  <c r="L16" i="6"/>
  <c r="K16" i="6"/>
  <c r="K3" i="6"/>
  <c r="N12" i="6"/>
  <c r="N6" i="6"/>
  <c r="N5" i="6"/>
  <c r="N4" i="6"/>
  <c r="N3" i="6"/>
  <c r="L12" i="6"/>
  <c r="L6" i="6"/>
  <c r="L5" i="6"/>
  <c r="L4" i="6"/>
  <c r="L3" i="6"/>
  <c r="K12" i="6"/>
  <c r="K6" i="6"/>
  <c r="K5" i="6"/>
  <c r="K4" i="6"/>
  <c r="H16" i="6"/>
  <c r="H17" i="6"/>
  <c r="H18" i="6"/>
  <c r="H19" i="6"/>
  <c r="H25" i="6"/>
  <c r="G17" i="6"/>
  <c r="G18" i="6"/>
  <c r="G19" i="6"/>
  <c r="G25" i="6"/>
  <c r="H13" i="6"/>
  <c r="I17" i="6"/>
  <c r="I18" i="6"/>
  <c r="I19" i="6"/>
  <c r="I25" i="6"/>
  <c r="D19" i="6"/>
  <c r="D25" i="6"/>
  <c r="C19" i="6"/>
  <c r="C25" i="6"/>
  <c r="B19" i="6"/>
  <c r="B25" i="6"/>
  <c r="C18" i="6"/>
  <c r="D18" i="6"/>
  <c r="B18" i="6"/>
  <c r="D17" i="6"/>
  <c r="C17" i="6"/>
  <c r="B17" i="6"/>
  <c r="A17" i="6"/>
  <c r="U18" i="6" l="1"/>
  <c r="F18" i="6" s="1"/>
  <c r="F6" i="6"/>
  <c r="U5" i="6"/>
  <c r="F5" i="6" s="1"/>
  <c r="F12" i="6"/>
  <c r="U3" i="6"/>
  <c r="F3" i="6" s="1"/>
  <c r="F4" i="6"/>
  <c r="U16" i="6"/>
  <c r="F16" i="6" s="1"/>
  <c r="F25" i="6"/>
  <c r="F19" i="6"/>
  <c r="F17" i="6"/>
  <c r="A25" i="6"/>
  <c r="A19" i="6"/>
  <c r="A18" i="6"/>
  <c r="A16" i="6"/>
  <c r="I16" i="6"/>
  <c r="D16" i="6"/>
  <c r="C16" i="6"/>
  <c r="B16" i="6"/>
  <c r="A2" i="7"/>
  <c r="F13" i="6" l="1"/>
  <c r="F26" i="6"/>
  <c r="G26" i="6"/>
  <c r="H26" i="6"/>
  <c r="E26" i="6"/>
  <c r="B2" i="7"/>
  <c r="B5" i="7" l="1"/>
  <c r="A5" i="7"/>
</calcChain>
</file>

<file path=xl/sharedStrings.xml><?xml version="1.0" encoding="utf-8"?>
<sst xmlns="http://schemas.openxmlformats.org/spreadsheetml/2006/main" count="73" uniqueCount="53">
  <si>
    <t>% removed</t>
  </si>
  <si>
    <t>Mass [kg]</t>
  </si>
  <si>
    <t>Qty</t>
  </si>
  <si>
    <t>Component name</t>
  </si>
  <si>
    <t>Emb. Energy - Primary process</t>
  </si>
  <si>
    <t>Emb. Energy - Material production</t>
  </si>
  <si>
    <t>Emb. Energy - Secondary process</t>
  </si>
  <si>
    <t>Material</t>
  </si>
  <si>
    <t>Total process energy</t>
  </si>
  <si>
    <t>Total energy</t>
  </si>
  <si>
    <t>CO2 footprint - Material production</t>
  </si>
  <si>
    <t>CO2 footprint - Primary process</t>
  </si>
  <si>
    <t>CO2 footprint - Secondary process</t>
  </si>
  <si>
    <t>1 kWh = 3,6 MJ</t>
  </si>
  <si>
    <t>1 MJ = 0,2778 kWh</t>
  </si>
  <si>
    <t>https://energinet.dk/Om-nyheder/Nyheder/2021/01/19/Ny-Energinet-service-giver-danske-virksomheder-praecise-CO2-tal-til-groenne-regnskaber</t>
  </si>
  <si>
    <t>133 g CO2 pr. kWh</t>
  </si>
  <si>
    <t>Total process CO2</t>
  </si>
  <si>
    <t>Total CO2</t>
  </si>
  <si>
    <t>CO2 footprint - Transport</t>
  </si>
  <si>
    <t>Energy calculator</t>
  </si>
  <si>
    <t>CO2 footprint calculator</t>
  </si>
  <si>
    <t>Embod. Energy - Transport</t>
  </si>
  <si>
    <t xml:space="preserve">Total </t>
  </si>
  <si>
    <t>Type 1</t>
  </si>
  <si>
    <t>Distance</t>
  </si>
  <si>
    <t>Type</t>
  </si>
  <si>
    <t>Comp. name</t>
  </si>
  <si>
    <t>Transport Embodied Energy calculator</t>
  </si>
  <si>
    <t>Transport CO2 footprint calculator</t>
  </si>
  <si>
    <t>Transport types</t>
  </si>
  <si>
    <t>Ocean freight</t>
  </si>
  <si>
    <t>Coastal freight</t>
  </si>
  <si>
    <t>River/canal freight</t>
  </si>
  <si>
    <t>Rail freight</t>
  </si>
  <si>
    <t>55 tonne (8 axle) truck</t>
  </si>
  <si>
    <t>40 tonne (6 axle) truck</t>
  </si>
  <si>
    <t>32 tonne (4 axle) truck</t>
  </si>
  <si>
    <t>26 tonne (3 axle) truck</t>
  </si>
  <si>
    <t>14 tonne (2 axle) truck</t>
  </si>
  <si>
    <t>Light goods vehicle</t>
  </si>
  <si>
    <t>Air freight - long haul</t>
  </si>
  <si>
    <t>Air freight - short haul</t>
  </si>
  <si>
    <t>Helicopter</t>
  </si>
  <si>
    <t>kg/MJ</t>
  </si>
  <si>
    <t>Type 2</t>
  </si>
  <si>
    <t>Type  3</t>
  </si>
  <si>
    <t>Material 1</t>
  </si>
  <si>
    <t>Material 2</t>
  </si>
  <si>
    <t>Cork</t>
  </si>
  <si>
    <t>Pine resin</t>
  </si>
  <si>
    <t>(MJ/kg)/km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</si>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</sst>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64" formatCode="0.00&quot; MJ/kg&quot;"/>
    <numFmt numFmtId="165" formatCode="0.0000"/>
    <numFmt numFmtId="166" formatCode="0.00&quot; CO2 kg/kg&quot;"/>
    <numFmt numFmtId="167" formatCode="0.00&quot; CO2 kg&quot;"/>
    <numFmt numFmtId="168" formatCode="0.00&quot; MJ&quot;"/>
    <numFmt numFmtId="169" formatCode="0.00&quot; kg&quot;"/>
    <numFmt numFmtId="170" formatCode="0.00&quot; km&quot;"/>
    <numFmt numFmtId="171" formatCode="0.00&quot; (MJ/km)/k&quot;\ "/>
    <numFmt numFmtId="172" formatCode="0.00&quot; (MJ/kg)/km&quot;\ "/>
    <numFmt numFmtId="173" formatCode="0.000&quot; kg&quot;"/>
    <numFmt numFmtId="174" formatCode="0.0000&quot; kg&quot;"/>
    <numFmt numFmtId="175" formatCode="0.0000&quot; (MJ/kg)/km&quot;\ "/>
    <numFmt numFmtId="176" formatCode="0.0000&quot; MJ&quot;"/>
    <numFmt numFmtId="177" formatCode="0.000000&quot; MJ&quot;"/>
    <numFmt numFmtId="178" formatCode="0.0000&quot; CO2 kg&quot;"/>
    <numFmt numFmtId="179" formatCode="0.000000&quot; CO2 kg&quot;"/>
    <numFmt numFmtId="180" formatCode="0.0000&quot; CO2 kg/kg&quot;"/>
    <numFmt numFmtId="181" formatCode="0.00000&quot; CO2 kg/kg&quot;"/>
    <numFmt numFmtId="182" formatCode="0.00000&quot; MJ&quot;"/>
    <numFmt numFmtId="183" formatCode="0.0000000&quot; MJ&quot;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7"/>
        <bgColor indexed="64"/>
      </patternFill>
    </fill>
    <fill>
      <patternFill patternType="solid">
        <fgColor theme="7"/>
        <bgColor theme="9" tint="0.79998168889431442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theme="9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theme="9" tint="0.7999816888943144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theme="9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theme="9" tint="0.79998168889431442"/>
      </patternFill>
    </fill>
  </fills>
  <borders count="46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9" tint="0.39997558519241921"/>
      </top>
      <bottom/>
      <diagonal/>
    </border>
    <border>
      <left style="thin">
        <color indexed="64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9" tint="0.3999755851924192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theme="9" tint="0.39997558519241921"/>
      </bottom>
      <diagonal/>
    </border>
    <border>
      <left style="thin">
        <color indexed="64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9" tint="0.39997558519241921"/>
      </bottom>
      <diagonal/>
    </border>
    <border>
      <left style="medium">
        <color indexed="64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medium">
        <color indexed="64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medium">
        <color indexed="64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n">
        <color indexed="64"/>
      </left>
      <right/>
      <top/>
      <bottom style="thin">
        <color theme="9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double">
        <color theme="9"/>
      </top>
      <bottom style="medium">
        <color indexed="64"/>
      </bottom>
      <diagonal/>
    </border>
    <border>
      <left style="thin">
        <color indexed="64"/>
      </left>
      <right/>
      <top style="double">
        <color theme="9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9" tint="0.39997558519241921"/>
      </top>
      <bottom style="double">
        <color theme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theme="9"/>
      </bottom>
      <diagonal/>
    </border>
    <border>
      <left style="thin">
        <color indexed="64"/>
      </left>
      <right style="thin">
        <color indexed="64"/>
      </right>
      <top style="double">
        <color theme="9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9" tint="0.39997558519241921"/>
      </top>
      <bottom style="thin">
        <color theme="9" tint="0.59999389629810485"/>
      </bottom>
      <diagonal/>
    </border>
    <border>
      <left style="thin">
        <color indexed="64"/>
      </left>
      <right style="thin">
        <color indexed="64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9" tint="0.59999389629810485"/>
      </bottom>
      <diagonal/>
    </border>
    <border>
      <left style="thin">
        <color indexed="64"/>
      </left>
      <right style="thin">
        <color indexed="64"/>
      </right>
      <top style="thin">
        <color theme="9" tint="0.39997558519241921"/>
      </top>
      <bottom/>
      <diagonal/>
    </border>
    <border>
      <left/>
      <right style="thin">
        <color indexed="64"/>
      </right>
      <top style="thin">
        <color theme="9" tint="0.39997558519241921"/>
      </top>
      <bottom/>
      <diagonal/>
    </border>
    <border>
      <left/>
      <right style="thin">
        <color indexed="64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indexed="64"/>
      </right>
      <top style="thin">
        <color theme="9" tint="0.39997558519241921"/>
      </top>
      <bottom/>
      <diagonal/>
    </border>
    <border>
      <left/>
      <right style="medium">
        <color indexed="64"/>
      </right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41">
    <xf numFmtId="0" fontId="0" fillId="0" borderId="0" xfId="0"/>
    <xf numFmtId="0" fontId="0" fillId="3" borderId="1" xfId="0" applyFont="1" applyFill="1" applyBorder="1"/>
    <xf numFmtId="0" fontId="0" fillId="3" borderId="5" xfId="0" applyFont="1" applyFill="1" applyBorder="1"/>
    <xf numFmtId="0" fontId="0" fillId="0" borderId="0" xfId="0" applyAlignment="1"/>
    <xf numFmtId="0" fontId="0" fillId="3" borderId="2" xfId="0" applyFont="1" applyFill="1" applyBorder="1"/>
    <xf numFmtId="0" fontId="0" fillId="3" borderId="6" xfId="0" applyFont="1" applyFill="1" applyBorder="1"/>
    <xf numFmtId="0" fontId="1" fillId="2" borderId="0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0" fillId="3" borderId="0" xfId="0" applyFont="1" applyFill="1" applyBorder="1"/>
    <xf numFmtId="0" fontId="0" fillId="3" borderId="8" xfId="0" applyFont="1" applyFill="1" applyBorder="1"/>
    <xf numFmtId="0" fontId="1" fillId="4" borderId="7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0" fillId="5" borderId="13" xfId="0" applyNumberFormat="1" applyFont="1" applyFill="1" applyBorder="1"/>
    <xf numFmtId="165" fontId="0" fillId="0" borderId="0" xfId="0" applyNumberFormat="1"/>
    <xf numFmtId="166" fontId="0" fillId="5" borderId="14" xfId="0" applyNumberFormat="1" applyFont="1" applyFill="1" applyBorder="1"/>
    <xf numFmtId="166" fontId="0" fillId="4" borderId="18" xfId="0" applyNumberFormat="1" applyFont="1" applyFill="1" applyBorder="1"/>
    <xf numFmtId="166" fontId="0" fillId="5" borderId="18" xfId="0" applyNumberFormat="1" applyFont="1" applyFill="1" applyBorder="1"/>
    <xf numFmtId="169" fontId="0" fillId="3" borderId="5" xfId="0" applyNumberFormat="1" applyFont="1" applyFill="1" applyBorder="1"/>
    <xf numFmtId="9" fontId="0" fillId="4" borderId="18" xfId="1" applyNumberFormat="1" applyFont="1" applyFill="1" applyBorder="1"/>
    <xf numFmtId="9" fontId="0" fillId="5" borderId="18" xfId="1" applyNumberFormat="1" applyFont="1" applyFill="1" applyBorder="1"/>
    <xf numFmtId="0" fontId="1" fillId="2" borderId="22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/>
    </xf>
    <xf numFmtId="166" fontId="0" fillId="0" borderId="0" xfId="0" applyNumberFormat="1"/>
    <xf numFmtId="167" fontId="0" fillId="5" borderId="18" xfId="0" applyNumberFormat="1" applyFont="1" applyFill="1" applyBorder="1"/>
    <xf numFmtId="0" fontId="0" fillId="0" borderId="24" xfId="0" applyBorder="1"/>
    <xf numFmtId="0" fontId="1" fillId="6" borderId="10" xfId="0" applyFont="1" applyFill="1" applyBorder="1" applyAlignment="1">
      <alignment horizontal="center" vertical="center"/>
    </xf>
    <xf numFmtId="164" fontId="0" fillId="9" borderId="11" xfId="0" applyNumberFormat="1" applyFont="1" applyFill="1" applyBorder="1"/>
    <xf numFmtId="164" fontId="0" fillId="10" borderId="12" xfId="0" applyNumberFormat="1" applyFont="1" applyFill="1" applyBorder="1"/>
    <xf numFmtId="164" fontId="0" fillId="9" borderId="12" xfId="0" applyNumberFormat="1" applyFont="1" applyFill="1" applyBorder="1"/>
    <xf numFmtId="164" fontId="0" fillId="15" borderId="2" xfId="0" applyNumberFormat="1" applyFont="1" applyFill="1" applyBorder="1"/>
    <xf numFmtId="164" fontId="0" fillId="16" borderId="6" xfId="0" applyNumberFormat="1" applyFont="1" applyFill="1" applyBorder="1"/>
    <xf numFmtId="164" fontId="0" fillId="15" borderId="6" xfId="0" applyNumberFormat="1" applyFont="1" applyFill="1" applyBorder="1"/>
    <xf numFmtId="164" fontId="0" fillId="15" borderId="3" xfId="0" applyNumberFormat="1" applyFont="1" applyFill="1" applyBorder="1"/>
    <xf numFmtId="9" fontId="0" fillId="15" borderId="11" xfId="1" applyFont="1" applyFill="1" applyBorder="1"/>
    <xf numFmtId="164" fontId="0" fillId="16" borderId="4" xfId="0" applyNumberFormat="1" applyFont="1" applyFill="1" applyBorder="1"/>
    <xf numFmtId="9" fontId="0" fillId="16" borderId="12" xfId="1" applyFont="1" applyFill="1" applyBorder="1"/>
    <xf numFmtId="164" fontId="0" fillId="15" borderId="4" xfId="0" applyNumberFormat="1" applyFont="1" applyFill="1" applyBorder="1"/>
    <xf numFmtId="9" fontId="0" fillId="15" borderId="12" xfId="1" applyFont="1" applyFill="1" applyBorder="1"/>
    <xf numFmtId="0" fontId="3" fillId="0" borderId="0" xfId="0" applyFont="1"/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0" fillId="13" borderId="14" xfId="0" applyFont="1" applyFill="1" applyBorder="1"/>
    <xf numFmtId="0" fontId="0" fillId="13" borderId="15" xfId="0" applyFont="1" applyFill="1" applyBorder="1"/>
    <xf numFmtId="0" fontId="0" fillId="14" borderId="18" xfId="0" applyFont="1" applyFill="1" applyBorder="1"/>
    <xf numFmtId="0" fontId="0" fillId="14" borderId="16" xfId="0" applyFont="1" applyFill="1" applyBorder="1"/>
    <xf numFmtId="0" fontId="0" fillId="13" borderId="18" xfId="0" applyFont="1" applyFill="1" applyBorder="1"/>
    <xf numFmtId="0" fontId="0" fillId="13" borderId="16" xfId="0" applyFont="1" applyFill="1" applyBorder="1"/>
    <xf numFmtId="0" fontId="3" fillId="3" borderId="25" xfId="0" applyFont="1" applyFill="1" applyBorder="1"/>
    <xf numFmtId="0" fontId="3" fillId="3" borderId="26" xfId="0" applyFont="1" applyFill="1" applyBorder="1"/>
    <xf numFmtId="0" fontId="1" fillId="2" borderId="28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6" borderId="27" xfId="0" applyFont="1" applyFill="1" applyBorder="1" applyAlignment="1">
      <alignment horizontal="center" vertical="center"/>
    </xf>
    <xf numFmtId="168" fontId="0" fillId="12" borderId="12" xfId="0" applyNumberFormat="1" applyFont="1" applyFill="1" applyBorder="1"/>
    <xf numFmtId="168" fontId="0" fillId="11" borderId="12" xfId="0" applyNumberFormat="1" applyFont="1" applyFill="1" applyBorder="1"/>
    <xf numFmtId="0" fontId="0" fillId="17" borderId="15" xfId="0" applyFont="1" applyFill="1" applyBorder="1"/>
    <xf numFmtId="169" fontId="0" fillId="17" borderId="15" xfId="0" applyNumberFormat="1" applyFont="1" applyFill="1" applyBorder="1"/>
    <xf numFmtId="0" fontId="0" fillId="2" borderId="16" xfId="0" applyFont="1" applyFill="1" applyBorder="1"/>
    <xf numFmtId="169" fontId="0" fillId="2" borderId="16" xfId="0" applyNumberFormat="1" applyFont="1" applyFill="1" applyBorder="1"/>
    <xf numFmtId="0" fontId="0" fillId="17" borderId="16" xfId="0" applyFont="1" applyFill="1" applyBorder="1"/>
    <xf numFmtId="169" fontId="0" fillId="17" borderId="16" xfId="0" applyNumberFormat="1" applyFont="1" applyFill="1" applyBorder="1"/>
    <xf numFmtId="0" fontId="0" fillId="8" borderId="5" xfId="0" applyFont="1" applyFill="1" applyBorder="1"/>
    <xf numFmtId="169" fontId="0" fillId="8" borderId="5" xfId="0" applyNumberFormat="1" applyFont="1" applyFill="1" applyBorder="1"/>
    <xf numFmtId="0" fontId="0" fillId="8" borderId="6" xfId="0" applyFont="1" applyFill="1" applyBorder="1"/>
    <xf numFmtId="0" fontId="0" fillId="17" borderId="20" xfId="0" applyFont="1" applyFill="1" applyBorder="1"/>
    <xf numFmtId="0" fontId="0" fillId="2" borderId="21" xfId="0" applyFont="1" applyFill="1" applyBorder="1"/>
    <xf numFmtId="0" fontId="0" fillId="17" borderId="21" xfId="0" applyFont="1" applyFill="1" applyBorder="1"/>
    <xf numFmtId="0" fontId="0" fillId="2" borderId="0" xfId="0" applyFill="1"/>
    <xf numFmtId="0" fontId="0" fillId="17" borderId="8" xfId="0" applyFont="1" applyFill="1" applyBorder="1"/>
    <xf numFmtId="168" fontId="3" fillId="3" borderId="36" xfId="0" applyNumberFormat="1" applyFont="1" applyFill="1" applyBorder="1"/>
    <xf numFmtId="170" fontId="0" fillId="13" borderId="31" xfId="0" applyNumberFormat="1" applyFont="1" applyFill="1" applyBorder="1"/>
    <xf numFmtId="170" fontId="0" fillId="14" borderId="32" xfId="0" applyNumberFormat="1" applyFont="1" applyFill="1" applyBorder="1"/>
    <xf numFmtId="170" fontId="0" fillId="13" borderId="32" xfId="0" applyNumberFormat="1" applyFont="1" applyFill="1" applyBorder="1"/>
    <xf numFmtId="170" fontId="0" fillId="13" borderId="33" xfId="0" applyNumberFormat="1" applyFont="1" applyFill="1" applyBorder="1"/>
    <xf numFmtId="170" fontId="0" fillId="0" borderId="34" xfId="0" applyNumberFormat="1" applyBorder="1"/>
    <xf numFmtId="170" fontId="0" fillId="0" borderId="30" xfId="0" applyNumberFormat="1" applyBorder="1"/>
    <xf numFmtId="170" fontId="0" fillId="0" borderId="35" xfId="0" applyNumberFormat="1" applyBorder="1"/>
    <xf numFmtId="170" fontId="3" fillId="3" borderId="26" xfId="0" applyNumberFormat="1" applyFont="1" applyFill="1" applyBorder="1"/>
    <xf numFmtId="0" fontId="0" fillId="0" borderId="0" xfId="0" applyAlignment="1">
      <alignment horizontal="right"/>
    </xf>
    <xf numFmtId="170" fontId="0" fillId="13" borderId="37" xfId="0" applyNumberFormat="1" applyFont="1" applyFill="1" applyBorder="1"/>
    <xf numFmtId="0" fontId="1" fillId="2" borderId="1" xfId="0" applyFont="1" applyFill="1" applyBorder="1" applyAlignment="1">
      <alignment horizontal="center"/>
    </xf>
    <xf numFmtId="0" fontId="4" fillId="0" borderId="0" xfId="2"/>
    <xf numFmtId="0" fontId="0" fillId="0" borderId="0" xfId="0" applyNumberFormat="1"/>
    <xf numFmtId="171" fontId="0" fillId="0" borderId="0" xfId="0" applyNumberFormat="1"/>
    <xf numFmtId="172" fontId="3" fillId="3" borderId="26" xfId="0" applyNumberFormat="1" applyFont="1" applyFill="1" applyBorder="1"/>
    <xf numFmtId="172" fontId="0" fillId="0" borderId="34" xfId="0" applyNumberFormat="1" applyBorder="1"/>
    <xf numFmtId="172" fontId="0" fillId="0" borderId="30" xfId="0" applyNumberFormat="1" applyBorder="1"/>
    <xf numFmtId="172" fontId="0" fillId="0" borderId="35" xfId="0" applyNumberFormat="1" applyBorder="1"/>
    <xf numFmtId="174" fontId="0" fillId="3" borderId="1" xfId="0" applyNumberFormat="1" applyFont="1" applyFill="1" applyBorder="1"/>
    <xf numFmtId="174" fontId="0" fillId="8" borderId="5" xfId="0" applyNumberFormat="1" applyFont="1" applyFill="1" applyBorder="1"/>
    <xf numFmtId="175" fontId="0" fillId="0" borderId="34" xfId="0" applyNumberFormat="1" applyBorder="1"/>
    <xf numFmtId="175" fontId="0" fillId="0" borderId="30" xfId="0" applyNumberFormat="1" applyBorder="1"/>
    <xf numFmtId="175" fontId="0" fillId="0" borderId="35" xfId="0" applyNumberFormat="1" applyBorder="1"/>
    <xf numFmtId="175" fontId="3" fillId="3" borderId="26" xfId="0" applyNumberFormat="1" applyFont="1" applyFill="1" applyBorder="1"/>
    <xf numFmtId="175" fontId="0" fillId="13" borderId="15" xfId="0" applyNumberFormat="1" applyFont="1" applyFill="1" applyBorder="1"/>
    <xf numFmtId="175" fontId="0" fillId="14" borderId="16" xfId="0" applyNumberFormat="1" applyFont="1" applyFill="1" applyBorder="1"/>
    <xf numFmtId="175" fontId="0" fillId="13" borderId="16" xfId="0" applyNumberFormat="1" applyFont="1" applyFill="1" applyBorder="1"/>
    <xf numFmtId="173" fontId="0" fillId="13" borderId="15" xfId="0" applyNumberFormat="1" applyFont="1" applyFill="1" applyBorder="1"/>
    <xf numFmtId="173" fontId="0" fillId="14" borderId="16" xfId="0" applyNumberFormat="1" applyFont="1" applyFill="1" applyBorder="1"/>
    <xf numFmtId="173" fontId="0" fillId="13" borderId="16" xfId="0" applyNumberFormat="1" applyFont="1" applyFill="1" applyBorder="1"/>
    <xf numFmtId="177" fontId="0" fillId="0" borderId="40" xfId="0" applyNumberFormat="1" applyBorder="1"/>
    <xf numFmtId="177" fontId="0" fillId="0" borderId="39" xfId="0" applyNumberFormat="1" applyBorder="1"/>
    <xf numFmtId="179" fontId="0" fillId="0" borderId="34" xfId="0" applyNumberFormat="1" applyBorder="1"/>
    <xf numFmtId="179" fontId="0" fillId="0" borderId="30" xfId="0" applyNumberFormat="1" applyBorder="1"/>
    <xf numFmtId="179" fontId="3" fillId="3" borderId="36" xfId="0" applyNumberFormat="1" applyFont="1" applyFill="1" applyBorder="1"/>
    <xf numFmtId="179" fontId="0" fillId="13" borderId="31" xfId="0" applyNumberFormat="1" applyFill="1" applyBorder="1"/>
    <xf numFmtId="179" fontId="0" fillId="14" borderId="38" xfId="0" applyNumberFormat="1" applyFill="1" applyBorder="1"/>
    <xf numFmtId="179" fontId="3" fillId="3" borderId="26" xfId="0" applyNumberFormat="1" applyFont="1" applyFill="1" applyBorder="1"/>
    <xf numFmtId="178" fontId="0" fillId="11" borderId="17" xfId="0" applyNumberFormat="1" applyFont="1" applyFill="1" applyBorder="1"/>
    <xf numFmtId="178" fontId="0" fillId="12" borderId="19" xfId="0" applyNumberFormat="1" applyFont="1" applyFill="1" applyBorder="1"/>
    <xf numFmtId="178" fontId="0" fillId="11" borderId="19" xfId="0" applyNumberFormat="1" applyFont="1" applyFill="1" applyBorder="1"/>
    <xf numFmtId="178" fontId="0" fillId="7" borderId="19" xfId="0" applyNumberFormat="1" applyFont="1" applyFill="1" applyBorder="1"/>
    <xf numFmtId="178" fontId="0" fillId="0" borderId="0" xfId="0" applyNumberFormat="1"/>
    <xf numFmtId="181" fontId="0" fillId="5" borderId="20" xfId="0" applyNumberFormat="1" applyFont="1" applyFill="1" applyBorder="1"/>
    <xf numFmtId="181" fontId="0" fillId="4" borderId="21" xfId="0" applyNumberFormat="1" applyFont="1" applyFill="1" applyBorder="1"/>
    <xf numFmtId="181" fontId="0" fillId="5" borderId="21" xfId="0" applyNumberFormat="1" applyFont="1" applyFill="1" applyBorder="1"/>
    <xf numFmtId="180" fontId="0" fillId="9" borderId="17" xfId="0" applyNumberFormat="1" applyFont="1" applyFill="1" applyBorder="1"/>
    <xf numFmtId="180" fontId="0" fillId="10" borderId="19" xfId="0" applyNumberFormat="1" applyFont="1" applyFill="1" applyBorder="1"/>
    <xf numFmtId="180" fontId="0" fillId="9" borderId="19" xfId="0" applyNumberFormat="1" applyFont="1" applyFill="1" applyBorder="1"/>
    <xf numFmtId="176" fontId="0" fillId="7" borderId="13" xfId="0" applyNumberFormat="1" applyFont="1" applyFill="1" applyBorder="1"/>
    <xf numFmtId="176" fontId="0" fillId="5" borderId="0" xfId="0" applyNumberFormat="1" applyFont="1" applyFill="1" applyBorder="1"/>
    <xf numFmtId="182" fontId="0" fillId="11" borderId="11" xfId="0" applyNumberFormat="1" applyFont="1" applyFill="1" applyBorder="1"/>
    <xf numFmtId="183" fontId="0" fillId="12" borderId="12" xfId="0" applyNumberFormat="1" applyFont="1" applyFill="1" applyBorder="1"/>
    <xf numFmtId="170" fontId="0" fillId="14" borderId="41" xfId="0" applyNumberFormat="1" applyFont="1" applyFill="1" applyBorder="1"/>
    <xf numFmtId="0" fontId="0" fillId="3" borderId="42" xfId="0" applyFont="1" applyFill="1" applyBorder="1"/>
    <xf numFmtId="169" fontId="0" fillId="3" borderId="44" xfId="0" applyNumberFormat="1" applyFont="1" applyFill="1" applyBorder="1"/>
    <xf numFmtId="164" fontId="0" fillId="9" borderId="44" xfId="0" applyNumberFormat="1" applyFont="1" applyFill="1" applyBorder="1"/>
    <xf numFmtId="164" fontId="0" fillId="15" borderId="12" xfId="0" applyNumberFormat="1" applyFont="1" applyFill="1" applyBorder="1"/>
    <xf numFmtId="164" fontId="0" fillId="15" borderId="44" xfId="0" applyNumberFormat="1" applyFont="1" applyFill="1" applyBorder="1"/>
    <xf numFmtId="9" fontId="0" fillId="15" borderId="44" xfId="1" applyFont="1" applyFill="1" applyBorder="1"/>
    <xf numFmtId="0" fontId="0" fillId="2" borderId="43" xfId="0" applyFont="1" applyFill="1" applyBorder="1"/>
    <xf numFmtId="0" fontId="0" fillId="17" borderId="43" xfId="0" applyFont="1" applyFill="1" applyBorder="1"/>
    <xf numFmtId="169" fontId="0" fillId="17" borderId="45" xfId="0" applyNumberFormat="1" applyFont="1" applyFill="1" applyBorder="1"/>
    <xf numFmtId="180" fontId="0" fillId="9" borderId="45" xfId="0" applyNumberFormat="1" applyFont="1" applyFill="1" applyBorder="1"/>
    <xf numFmtId="178" fontId="0" fillId="11" borderId="18" xfId="0" applyNumberFormat="1" applyFont="1" applyFill="1" applyBorder="1"/>
    <xf numFmtId="166" fontId="0" fillId="5" borderId="21" xfId="0" applyNumberFormat="1" applyFont="1" applyFill="1" applyBorder="1"/>
    <xf numFmtId="181" fontId="0" fillId="5" borderId="19" xfId="0" applyNumberFormat="1" applyFont="1" applyFill="1" applyBorder="1"/>
    <xf numFmtId="182" fontId="0" fillId="0" borderId="0" xfId="0" applyNumberFormat="1"/>
  </cellXfs>
  <cellStyles count="3">
    <cellStyle name="Link" xfId="2" builtinId="8"/>
    <cellStyle name="Normal" xfId="0" builtinId="0"/>
    <cellStyle name="Procent" xfId="1" builtinId="5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7"/>
        </patternFill>
      </fill>
      <border diagonalUp="0" diagonalDown="0" outline="0">
        <left style="medium">
          <color indexed="64"/>
        </left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fill>
        <patternFill patternType="solid">
          <fgColor indexed="64"/>
          <bgColor theme="7"/>
        </patternFill>
      </fill>
      <border diagonalUp="0" diagonalDown="0">
        <left style="medium">
          <color indexed="64"/>
        </left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&quot; CO2 kg&quot;"/>
      <fill>
        <patternFill patternType="solid">
          <fgColor theme="9" tint="0.79998168889431442"/>
          <bgColor theme="7"/>
        </patternFill>
      </fill>
      <border diagonalUp="0" diagonalDown="0" outline="0">
        <left style="medium">
          <color indexed="64"/>
        </left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0.00&quot; CO2 kg/kg&quot;"/>
      <fill>
        <patternFill patternType="solid">
          <fgColor theme="9" tint="0.79998168889431442"/>
          <bgColor theme="7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0.00000&quot; CO2 kg&quot;"/>
      <fill>
        <patternFill patternType="solid">
          <fgColor theme="9" tint="0.79998168889431442"/>
          <bgColor theme="7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1" formatCode="0.00000&quot; CO2 kg/kg&quot;"/>
      <fill>
        <patternFill patternType="solid">
          <fgColor theme="9" tint="0.79998168889431442"/>
          <bgColor theme="7"/>
        </patternFill>
      </fill>
      <border diagonalUp="0" diagonalDown="0" outline="0">
        <left style="medium">
          <color indexed="64"/>
        </left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&quot; CO2 kg&quot;"/>
      <fill>
        <patternFill patternType="solid">
          <fgColor theme="9" tint="0.79998168889431442"/>
          <bgColor theme="6"/>
        </patternFill>
      </fill>
      <border diagonalUp="0" diagonalDown="0" outline="0">
        <left style="medium">
          <color indexed="64"/>
        </left>
        <right style="medium">
          <color indexed="64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8" formatCode="0.0000&quot; CO2 kg&quot;"/>
      <fill>
        <patternFill patternType="solid">
          <fgColor theme="9" tint="0.79998168889431442"/>
          <bgColor theme="0" tint="-0.34998626667073579"/>
        </patternFill>
      </fill>
      <border diagonalUp="0" diagonalDown="0" outline="0">
        <left style="medium">
          <color indexed="64"/>
        </left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8" formatCode="0.0000&quot; CO2 kg&quot;"/>
      <fill>
        <patternFill patternType="solid">
          <fgColor theme="9" tint="0.79998168889431442"/>
          <bgColor theme="6"/>
        </patternFill>
      </fill>
      <border diagonalUp="0" diagonalDown="0" outline="0">
        <left style="medium">
          <color indexed="64"/>
        </left>
        <right style="medium">
          <color indexed="64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0" formatCode="0.0000&quot; CO2 kg/kg&quot;"/>
      <fill>
        <patternFill patternType="solid">
          <fgColor theme="9" tint="0.79998168889431442"/>
          <bgColor theme="0" tint="-0.14999847407452621"/>
        </patternFill>
      </fill>
      <border diagonalUp="0" diagonalDown="0" outline="0">
        <left/>
        <right style="medium">
          <color indexed="64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-0.249977111117893"/>
        </patternFill>
      </fill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0.00&quot; kg&quot;"/>
      <fill>
        <patternFill patternType="solid">
          <fgColor theme="9" tint="0.79998168889431442"/>
          <bgColor theme="9" tint="-0.249977111117893"/>
        </patternFill>
      </fill>
      <border diagonalUp="0" diagonalDown="0" outline="0">
        <left/>
        <right style="medium">
          <color indexed="64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-0.249977111117893"/>
        </patternFill>
      </fill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-0.249977111117893"/>
        </patternFill>
      </fill>
      <border diagonalUp="0" diagonalDown="0" outline="0">
        <left/>
        <right style="thin">
          <color indexed="64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-0.249977111117893"/>
        </patternFill>
      </fill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-0.249977111117893"/>
        </patternFill>
      </fill>
      <border diagonalUp="0" diagonalDown="0" outline="0">
        <left/>
        <right style="thin">
          <color indexed="64"/>
        </right>
        <top style="thin">
          <color theme="9" tint="0.39997558519241921"/>
        </top>
        <bottom style="thin">
          <color theme="9" tint="0.39997558519241921"/>
        </bottom>
      </border>
    </dxf>
    <dxf>
      <fill>
        <patternFill patternType="solid">
          <fgColor indexed="64"/>
          <bgColor theme="9" tint="-0.249977111117893"/>
        </patternFill>
      </fill>
    </dxf>
    <dxf>
      <fill>
        <patternFill patternType="solid">
          <bgColor theme="9" tint="-0.249977111117893"/>
        </patternFill>
      </fill>
      <border outline="0">
        <right style="thin">
          <color indexed="64"/>
        </right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9" tint="0.79998168889431442"/>
          <bgColor theme="7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7" tint="0.59999389629810485"/>
        </patternFill>
      </fill>
      <border diagonalUp="0" diagonalDown="0" outline="0">
        <left/>
        <right style="medium">
          <color indexed="64"/>
        </right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0.0000&quot; MJ&quot;"/>
      <fill>
        <patternFill patternType="solid">
          <fgColor theme="9" tint="0.79998168889431442"/>
          <bgColor theme="7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&quot; MJ/kg&quot;"/>
      <fill>
        <patternFill patternType="solid">
          <fgColor theme="9" tint="0.79998168889431442"/>
          <bgColor theme="7" tint="0.59999389629810485"/>
        </patternFill>
      </fill>
      <border diagonalUp="0" diagonalDown="0" outline="0">
        <left/>
        <right style="medium">
          <color indexed="64"/>
        </right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0.0000&quot; MJ&quot;"/>
      <fill>
        <patternFill patternType="solid">
          <fgColor theme="9" tint="0.79998168889431442"/>
          <bgColor theme="7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&quot; MJ/kg&quot;"/>
      <fill>
        <patternFill patternType="solid">
          <fgColor theme="9" tint="0.79998168889431442"/>
          <bgColor theme="7" tint="0.59999389629810485"/>
        </patternFill>
      </fill>
      <border diagonalUp="0" diagonalDown="0" outline="0">
        <left style="medium">
          <color indexed="64"/>
        </left>
        <right style="medium">
          <color indexed="64"/>
        </right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0.0000&quot; MJ&quot;"/>
      <fill>
        <patternFill patternType="solid">
          <fgColor theme="9" tint="0.79998168889431442"/>
          <bgColor theme="6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.00&quot; MJ&quot;"/>
      <fill>
        <patternFill patternType="solid">
          <fgColor theme="9" tint="0.79998168889431442"/>
          <bgColor theme="0" tint="-0.34998626667073579"/>
        </patternFill>
      </fill>
      <border diagonalUp="0" diagonalDown="0" outline="0">
        <left style="medium">
          <color indexed="64"/>
        </left>
        <right style="medium">
          <color indexed="64"/>
        </right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0.0000&quot; MJ&quot;"/>
      <fill>
        <patternFill patternType="solid">
          <fgColor theme="9" tint="0.79998168889431442"/>
          <bgColor theme="6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&quot; MJ/kg&quot;"/>
      <fill>
        <patternFill patternType="solid">
          <fgColor theme="9" tint="0.79998168889431442"/>
          <bgColor theme="0" tint="-0.14999847407452621"/>
        </patternFill>
      </fill>
      <border diagonalUp="0" diagonalDown="0" outline="0">
        <left/>
        <right style="medium">
          <color indexed="64"/>
        </right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0.00&quot; kg&quot;"/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 style="medium">
          <color indexed="64"/>
        </right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 style="thin">
          <color indexed="64"/>
        </right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 style="thin">
          <color indexed="64"/>
        </right>
        <top style="thin">
          <color theme="9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 outline="0">
        <left/>
        <right style="thin">
          <color indexed="64"/>
        </right>
        <top style="thin">
          <color theme="9" tint="0.39997558519241921"/>
        </top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7"/>
        </patternFill>
      </fill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AB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Embodied energy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UI!$E$2</c:f>
              <c:strCache>
                <c:ptCount val="1"/>
                <c:pt idx="0">
                  <c:v>Emb. Energy - Material production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gradFill flip="none" rotWithShape="1">
                <a:gsLst>
                  <a:gs pos="0">
                    <a:schemeClr val="accent1"/>
                  </a:gs>
                  <a:gs pos="75000">
                    <a:schemeClr val="accent1">
                      <a:lumMod val="60000"/>
                      <a:lumOff val="40000"/>
                    </a:schemeClr>
                  </a:gs>
                  <a:gs pos="51000">
                    <a:schemeClr val="accent1">
                      <a:alpha val="75000"/>
                    </a:schemeClr>
                  </a:gs>
                  <a:gs pos="100000">
                    <a:schemeClr val="accent1">
                      <a:lumMod val="20000"/>
                      <a:lumOff val="80000"/>
                      <a:alpha val="15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BD6-3B4B-B32E-7F5C6B7021E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UI!$E$13</c:f>
              <c:numCache>
                <c:formatCode>0.0000" MJ"</c:formatCode>
                <c:ptCount val="1"/>
                <c:pt idx="0">
                  <c:v>3.78E-2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92-CF4E-B300-5FE0235213A2}"/>
            </c:ext>
          </c:extLst>
        </c:ser>
        <c:ser>
          <c:idx val="3"/>
          <c:order val="1"/>
          <c:tx>
            <c:strRef>
              <c:f>UI!$F$2</c:f>
              <c:strCache>
                <c:ptCount val="1"/>
                <c:pt idx="0">
                  <c:v>Embod. Energy - Transport</c:v>
                </c:pt>
              </c:strCache>
            </c:strRef>
          </c:tx>
          <c:spPr>
            <a:gradFill flip="none" rotWithShape="1">
              <a:gsLst>
                <a:gs pos="0">
                  <a:schemeClr val="accent4"/>
                </a:gs>
                <a:gs pos="75000">
                  <a:schemeClr val="accent4">
                    <a:lumMod val="60000"/>
                    <a:lumOff val="40000"/>
                  </a:schemeClr>
                </a:gs>
                <a:gs pos="51000">
                  <a:schemeClr val="accent4">
                    <a:alpha val="75000"/>
                  </a:schemeClr>
                </a:gs>
                <a:gs pos="100000">
                  <a:schemeClr val="accent4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UI!$F$13</c:f>
              <c:numCache>
                <c:formatCode>0.0000" MJ"</c:formatCode>
                <c:ptCount val="1"/>
                <c:pt idx="0">
                  <c:v>0.19074599999999997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E0-4AB2-B609-75B5BD30211E}"/>
            </c:ext>
          </c:extLst>
        </c:ser>
        <c:ser>
          <c:idx val="1"/>
          <c:order val="2"/>
          <c:tx>
            <c:v>Emb. Energy Manufacturing processes</c:v>
          </c:tx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LIST!$A$2</c:f>
              <c:numCache>
                <c:formatCode>0.00000" MJ"</c:formatCode>
                <c:ptCount val="1"/>
                <c:pt idx="0">
                  <c:v>0.10799279999999999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92-CF4E-B300-5FE0235213A2}"/>
            </c:ext>
          </c:extLst>
        </c:ser>
        <c:ser>
          <c:idx val="2"/>
          <c:order val="3"/>
          <c:tx>
            <c:v>Total Emb. energy</c:v>
          </c:tx>
          <c:spPr>
            <a:gradFill flip="none" rotWithShape="1">
              <a:gsLst>
                <a:gs pos="0">
                  <a:schemeClr val="accent3"/>
                </a:gs>
                <a:gs pos="75000">
                  <a:schemeClr val="accent3">
                    <a:lumMod val="60000"/>
                    <a:lumOff val="40000"/>
                  </a:schemeClr>
                </a:gs>
                <a:gs pos="51000">
                  <a:schemeClr val="accent3">
                    <a:alpha val="75000"/>
                  </a:schemeClr>
                </a:gs>
                <a:gs pos="100000">
                  <a:schemeClr val="accent3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LIST!$B$2</c:f>
              <c:numCache>
                <c:formatCode>0.00000" MJ"</c:formatCode>
                <c:ptCount val="1"/>
                <c:pt idx="0">
                  <c:v>0.1457928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D6-3B4B-B32E-7F5C6B7021E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2121978687"/>
        <c:axId val="39417456"/>
      </c:barChart>
      <c:catAx>
        <c:axId val="2121978687"/>
        <c:scaling>
          <c:orientation val="minMax"/>
        </c:scaling>
        <c:delete val="1"/>
        <c:axPos val="b"/>
        <c:majorTickMark val="none"/>
        <c:minorTickMark val="none"/>
        <c:tickLblPos val="nextTo"/>
        <c:crossAx val="39417456"/>
        <c:crosses val="autoZero"/>
        <c:auto val="1"/>
        <c:lblAlgn val="ctr"/>
        <c:lblOffset val="100"/>
        <c:noMultiLvlLbl val="0"/>
      </c:catAx>
      <c:valAx>
        <c:axId val="39417456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00&quot; MJ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121978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CO2</a:t>
            </a:r>
            <a:r>
              <a:rPr lang="da-DK" baseline="0"/>
              <a:t> footprint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UI!$E$15</c:f>
              <c:strCache>
                <c:ptCount val="1"/>
                <c:pt idx="0">
                  <c:v>CO2 footprint - Material production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UI!$E$26</c:f>
              <c:numCache>
                <c:formatCode>0.0000" CO2 kg"</c:formatCode>
                <c:ptCount val="1"/>
                <c:pt idx="0">
                  <c:v>5.3459999999999992E-3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5A-4317-BC1B-22890B459D72}"/>
            </c:ext>
          </c:extLst>
        </c:ser>
        <c:ser>
          <c:idx val="3"/>
          <c:order val="1"/>
          <c:tx>
            <c:strRef>
              <c:f>UI!$F$15</c:f>
              <c:strCache>
                <c:ptCount val="1"/>
                <c:pt idx="0">
                  <c:v>CO2 footprint - Transport</c:v>
                </c:pt>
              </c:strCache>
            </c:strRef>
          </c:tx>
          <c:spPr>
            <a:gradFill flip="none" rotWithShape="1">
              <a:gsLst>
                <a:gs pos="0">
                  <a:schemeClr val="accent4"/>
                </a:gs>
                <a:gs pos="75000">
                  <a:schemeClr val="accent4">
                    <a:lumMod val="60000"/>
                    <a:lumOff val="40000"/>
                  </a:schemeClr>
                </a:gs>
                <a:gs pos="51000">
                  <a:schemeClr val="accent4">
                    <a:alpha val="75000"/>
                  </a:schemeClr>
                </a:gs>
                <a:gs pos="100000">
                  <a:schemeClr val="accent4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UI!$F$26</c:f>
              <c:numCache>
                <c:formatCode>0.0000" CO2 kg"</c:formatCode>
                <c:ptCount val="1"/>
                <c:pt idx="0">
                  <c:v>3.8906639999999999E-2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4B-4D91-A192-C0FDF0193422}"/>
            </c:ext>
          </c:extLst>
        </c:ser>
        <c:ser>
          <c:idx val="1"/>
          <c:order val="2"/>
          <c:tx>
            <c:v>CO2 footprint Manufacturing processes</c:v>
          </c:tx>
          <c:spPr>
            <a:gradFill flip="none" rotWithShape="1">
              <a:gsLst>
                <a:gs pos="0">
                  <a:schemeClr val="accent2"/>
                </a:gs>
                <a:gs pos="75000">
                  <a:schemeClr val="accent2">
                    <a:lumMod val="60000"/>
                    <a:lumOff val="40000"/>
                  </a:schemeClr>
                </a:gs>
                <a:gs pos="51000">
                  <a:schemeClr val="accent2">
                    <a:alpha val="75000"/>
                  </a:schemeClr>
                </a:gs>
                <a:gs pos="100000">
                  <a:schemeClr val="accent2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LIST!$A$5</c:f>
              <c:numCache>
                <c:formatCode>0.0000" CO2 kg"</c:formatCode>
                <c:ptCount val="1"/>
                <c:pt idx="0">
                  <c:v>3.989734E-3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5A-4317-BC1B-22890B459D72}"/>
            </c:ext>
          </c:extLst>
        </c:ser>
        <c:ser>
          <c:idx val="2"/>
          <c:order val="3"/>
          <c:tx>
            <c:v>Total CO2 footprint</c:v>
          </c:tx>
          <c:spPr>
            <a:gradFill flip="none" rotWithShape="1">
              <a:gsLst>
                <a:gs pos="0">
                  <a:schemeClr val="accent3"/>
                </a:gs>
                <a:gs pos="75000">
                  <a:schemeClr val="accent3">
                    <a:lumMod val="60000"/>
                    <a:lumOff val="40000"/>
                  </a:schemeClr>
                </a:gs>
                <a:gs pos="51000">
                  <a:schemeClr val="accent3">
                    <a:alpha val="75000"/>
                  </a:schemeClr>
                </a:gs>
                <a:gs pos="100000">
                  <a:schemeClr val="accent3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LIST!$B$5</c:f>
              <c:numCache>
                <c:formatCode>0.0000" CO2 kg"</c:formatCode>
                <c:ptCount val="1"/>
                <c:pt idx="0">
                  <c:v>9.3357339999999983E-3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5A-4317-BC1B-22890B459D7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55"/>
        <c:overlap val="-70"/>
        <c:axId val="2121978687"/>
        <c:axId val="39417456"/>
      </c:barChart>
      <c:catAx>
        <c:axId val="2121978687"/>
        <c:scaling>
          <c:orientation val="minMax"/>
        </c:scaling>
        <c:delete val="1"/>
        <c:axPos val="b"/>
        <c:majorTickMark val="none"/>
        <c:minorTickMark val="none"/>
        <c:tickLblPos val="nextTo"/>
        <c:crossAx val="39417456"/>
        <c:crosses val="autoZero"/>
        <c:auto val="1"/>
        <c:lblAlgn val="ctr"/>
        <c:lblOffset val="100"/>
        <c:noMultiLvlLbl val="0"/>
      </c:catAx>
      <c:valAx>
        <c:axId val="39417456"/>
        <c:scaling>
          <c:orientation val="minMax"/>
          <c:max val="4.0000000000000008E-2"/>
          <c:min val="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00&quot; CO2 kg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121978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svg"/><Relationship Id="rId3" Type="http://schemas.openxmlformats.org/officeDocument/2006/relationships/image" Target="../media/image3.png"/><Relationship Id="rId7" Type="http://schemas.openxmlformats.org/officeDocument/2006/relationships/image" Target="../media/image5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258000</xdr:colOff>
      <xdr:row>2</xdr:row>
      <xdr:rowOff>97971</xdr:rowOff>
    </xdr:from>
    <xdr:to>
      <xdr:col>4</xdr:col>
      <xdr:colOff>1168167</xdr:colOff>
      <xdr:row>7</xdr:row>
      <xdr:rowOff>59271</xdr:rowOff>
    </xdr:to>
    <xdr:pic>
      <xdr:nvPicPr>
        <xdr:cNvPr id="3" name="Grafik 2" descr="Råvarer kontur">
          <a:extLst>
            <a:ext uri="{FF2B5EF4-FFF2-40B4-BE49-F238E27FC236}">
              <a16:creationId xmlns:a16="http://schemas.microsoft.com/office/drawing/2014/main" id="{26FAA4F4-E4ED-E94C-9C39-4AB0D4711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46229" y="293914"/>
          <a:ext cx="910167" cy="883864"/>
        </a:xfrm>
        <a:prstGeom prst="rect">
          <a:avLst/>
        </a:prstGeom>
      </xdr:spPr>
    </xdr:pic>
    <xdr:clientData/>
  </xdr:twoCellAnchor>
  <xdr:twoCellAnchor editAs="oneCell">
    <xdr:from>
      <xdr:col>6</xdr:col>
      <xdr:colOff>139602</xdr:colOff>
      <xdr:row>2</xdr:row>
      <xdr:rowOff>62592</xdr:rowOff>
    </xdr:from>
    <xdr:to>
      <xdr:col>6</xdr:col>
      <xdr:colOff>1055288</xdr:colOff>
      <xdr:row>7</xdr:row>
      <xdr:rowOff>13874</xdr:rowOff>
    </xdr:to>
    <xdr:pic>
      <xdr:nvPicPr>
        <xdr:cNvPr id="7" name="Grafik 6" descr="Produktion kontur">
          <a:extLst>
            <a:ext uri="{FF2B5EF4-FFF2-40B4-BE49-F238E27FC236}">
              <a16:creationId xmlns:a16="http://schemas.microsoft.com/office/drawing/2014/main" id="{AF03CE44-DC32-E24F-8921-FAE663F46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249459" y="258535"/>
          <a:ext cx="915686" cy="873846"/>
        </a:xfrm>
        <a:prstGeom prst="rect">
          <a:avLst/>
        </a:prstGeom>
      </xdr:spPr>
    </xdr:pic>
    <xdr:clientData/>
  </xdr:twoCellAnchor>
  <xdr:twoCellAnchor>
    <xdr:from>
      <xdr:col>0</xdr:col>
      <xdr:colOff>65313</xdr:colOff>
      <xdr:row>28</xdr:row>
      <xdr:rowOff>17473</xdr:rowOff>
    </xdr:from>
    <xdr:to>
      <xdr:col>5</xdr:col>
      <xdr:colOff>1404257</xdr:colOff>
      <xdr:row>46</xdr:row>
      <xdr:rowOff>119742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36226ED0-D183-3C4E-9A6F-8C74825300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7</xdr:col>
      <xdr:colOff>94140</xdr:colOff>
      <xdr:row>2</xdr:row>
      <xdr:rowOff>55497</xdr:rowOff>
    </xdr:from>
    <xdr:to>
      <xdr:col>7</xdr:col>
      <xdr:colOff>1004530</xdr:colOff>
      <xdr:row>7</xdr:row>
      <xdr:rowOff>3379</xdr:rowOff>
    </xdr:to>
    <xdr:pic>
      <xdr:nvPicPr>
        <xdr:cNvPr id="8" name="Grafik 7" descr="Produktion kontur">
          <a:extLst>
            <a:ext uri="{FF2B5EF4-FFF2-40B4-BE49-F238E27FC236}">
              <a16:creationId xmlns:a16="http://schemas.microsoft.com/office/drawing/2014/main" id="{226D2BF2-0BEB-4C4B-9238-B43CF9C90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27797" y="251440"/>
          <a:ext cx="910390" cy="878610"/>
        </a:xfrm>
        <a:prstGeom prst="rect">
          <a:avLst/>
        </a:prstGeom>
      </xdr:spPr>
    </xdr:pic>
    <xdr:clientData/>
  </xdr:twoCellAnchor>
  <xdr:twoCellAnchor>
    <xdr:from>
      <xdr:col>5</xdr:col>
      <xdr:colOff>1415142</xdr:colOff>
      <xdr:row>28</xdr:row>
      <xdr:rowOff>21772</xdr:rowOff>
    </xdr:from>
    <xdr:to>
      <xdr:col>12</xdr:col>
      <xdr:colOff>489856</xdr:colOff>
      <xdr:row>46</xdr:row>
      <xdr:rowOff>114967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3B97BB1D-2EBE-4018-A44F-7FB063078D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</xdr:col>
      <xdr:colOff>130628</xdr:colOff>
      <xdr:row>15</xdr:row>
      <xdr:rowOff>10885</xdr:rowOff>
    </xdr:from>
    <xdr:to>
      <xdr:col>4</xdr:col>
      <xdr:colOff>1040795</xdr:colOff>
      <xdr:row>19</xdr:row>
      <xdr:rowOff>154521</xdr:rowOff>
    </xdr:to>
    <xdr:pic>
      <xdr:nvPicPr>
        <xdr:cNvPr id="9" name="Grafik 8" descr="Råvarer kontur">
          <a:extLst>
            <a:ext uri="{FF2B5EF4-FFF2-40B4-BE49-F238E27FC236}">
              <a16:creationId xmlns:a16="http://schemas.microsoft.com/office/drawing/2014/main" id="{BFE66406-B4D5-4702-9CD8-10AF3B8C8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918857" y="1796142"/>
          <a:ext cx="910167" cy="883864"/>
        </a:xfrm>
        <a:prstGeom prst="rect">
          <a:avLst/>
        </a:prstGeom>
      </xdr:spPr>
    </xdr:pic>
    <xdr:clientData/>
  </xdr:twoCellAnchor>
  <xdr:oneCellAnchor>
    <xdr:from>
      <xdr:col>6</xdr:col>
      <xdr:colOff>117830</xdr:colOff>
      <xdr:row>15</xdr:row>
      <xdr:rowOff>62593</xdr:rowOff>
    </xdr:from>
    <xdr:ext cx="915686" cy="873846"/>
    <xdr:pic>
      <xdr:nvPicPr>
        <xdr:cNvPr id="10" name="Grafik 9" descr="Produktion kontur">
          <a:extLst>
            <a:ext uri="{FF2B5EF4-FFF2-40B4-BE49-F238E27FC236}">
              <a16:creationId xmlns:a16="http://schemas.microsoft.com/office/drawing/2014/main" id="{CF015EAB-8F84-4B57-BF9D-0BFD98C0E2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27687" y="1978479"/>
          <a:ext cx="915686" cy="873846"/>
        </a:xfrm>
        <a:prstGeom prst="rect">
          <a:avLst/>
        </a:prstGeom>
      </xdr:spPr>
    </xdr:pic>
    <xdr:clientData/>
  </xdr:oneCellAnchor>
  <xdr:oneCellAnchor>
    <xdr:from>
      <xdr:col>7</xdr:col>
      <xdr:colOff>83254</xdr:colOff>
      <xdr:row>15</xdr:row>
      <xdr:rowOff>44611</xdr:rowOff>
    </xdr:from>
    <xdr:ext cx="910390" cy="878610"/>
    <xdr:pic>
      <xdr:nvPicPr>
        <xdr:cNvPr id="11" name="Grafik 10" descr="Produktion kontur">
          <a:extLst>
            <a:ext uri="{FF2B5EF4-FFF2-40B4-BE49-F238E27FC236}">
              <a16:creationId xmlns:a16="http://schemas.microsoft.com/office/drawing/2014/main" id="{770FF894-1536-4EBB-902A-9A6034B8F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326711" y="1818982"/>
          <a:ext cx="910390" cy="878610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82074F-3516-6644-B6E2-5E2838F2CC53}" name="Tabel1" displayName="Tabel1" ref="A2:I13" totalsRowCount="1" headerRowDxfId="38" tableBorderDxfId="37">
  <autoFilter ref="A2:I12" xr:uid="{4D82074F-3516-6644-B6E2-5E2838F2CC53}"/>
  <tableColumns count="9">
    <tableColumn id="1" xr3:uid="{67DB3EE0-7ED6-584F-9F2E-99553F711FE0}" name="Qty" dataDxfId="36" totalsRowDxfId="35"/>
    <tableColumn id="2" xr3:uid="{C201903B-CE07-1C4F-9152-6DA66C2DAB0A}" name="Component name" dataDxfId="34" totalsRowDxfId="33"/>
    <tableColumn id="3" xr3:uid="{492843DA-0034-0245-AF55-AC75661E6904}" name="Material" dataDxfId="32" totalsRowDxfId="31"/>
    <tableColumn id="5" xr3:uid="{41921BDD-B4E5-2642-B436-6441A2873CC4}" name="Mass [kg]" dataDxfId="30" totalsRowDxfId="29"/>
    <tableColumn id="6" xr3:uid="{9379044D-4AAF-2640-A0A9-D6AFE05CF674}" name="Emb. Energy - Material production" totalsRowFunction="custom" dataDxfId="28" totalsRowDxfId="27">
      <totalsRowFormula>($A3*$D3*E3)+($A4*$D4*E4)+($A5*$D5*E5)+($A6*$D6*E6)+($A12*$D12*E12)</totalsRowFormula>
    </tableColumn>
    <tableColumn id="4" xr3:uid="{14C6CB2C-9E1D-402E-BAFE-7378C97E7EC6}" name="Embod. Energy - Transport" totalsRowFunction="sum" dataDxfId="26" totalsRowDxfId="25">
      <calculatedColumnFormula>U3</calculatedColumnFormula>
    </tableColumn>
    <tableColumn id="8" xr3:uid="{D1115A3A-4B56-AF46-9322-C2FAA310F684}" name="Emb. Energy - Primary process" totalsRowFunction="custom" dataDxfId="24" totalsRowDxfId="23">
      <totalsRowFormula>($A3*$D3*G3*(1/(1-I3)))+($A4*$D4*G4*(1/(1-I4)))+($A5*$D5*G5*(1/(1-I5)))+($A6*$D6*G6*(1/(1-I6)))+($A12*$D12*G12*(1/(1-I12)))</totalsRowFormula>
    </tableColumn>
    <tableColumn id="10" xr3:uid="{5424635E-525C-FA43-989A-DF198CE3443B}" name="Emb. Energy - Secondary process" totalsRowFunction="custom" dataDxfId="22" totalsRowDxfId="21">
      <totalsRowFormula>($A3*$D3*H3*((1/(1-I3))-1))+($A4*$D4*H4*((1/(1-I4))-1))+($A5*$D5*H5*((1/(1-I5))-1))+($A6*$D6*H6*((1/(1-I6))-1))+($A12*$D12*H12*((1/(1-I12))-1))</totalsRowFormula>
    </tableColumn>
    <tableColumn id="12" xr3:uid="{E45755E7-0947-BA4F-B358-D9C0EF2E2B0E}" name="% removed" dataDxfId="20" totalsRowDxfId="19" dataCellStyle="Procent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8AA0072-EEB3-4BF9-9ACA-260DA71CBCD5}" name="Tabel5" displayName="Tabel5" ref="A15:I26" totalsRowCount="1" tableBorderDxfId="18">
  <autoFilter ref="A15:I25" xr:uid="{78AA0072-EEB3-4BF9-9ACA-260DA71CBCD5}"/>
  <tableColumns count="9">
    <tableColumn id="1" xr3:uid="{72866BAC-54A3-416E-8FA4-6ADDB7DF8D78}" name="Qty" dataDxfId="17" totalsRowDxfId="16">
      <calculatedColumnFormula>A3</calculatedColumnFormula>
    </tableColumn>
    <tableColumn id="2" xr3:uid="{F47EA47A-F987-4B4A-9AB9-1766CCCB1D18}" name="Component name" dataDxfId="15" totalsRowDxfId="14">
      <calculatedColumnFormula>B3</calculatedColumnFormula>
    </tableColumn>
    <tableColumn id="3" xr3:uid="{053411AD-9E77-4902-97F4-5F3FAAD8A855}" name="Material" dataDxfId="13" totalsRowDxfId="12">
      <calculatedColumnFormula>C3</calculatedColumnFormula>
    </tableColumn>
    <tableColumn id="4" xr3:uid="{FCA73AFC-0359-4BCF-A86B-8253FD0AE84A}" name="Mass [kg]" dataDxfId="11" totalsRowDxfId="10">
      <calculatedColumnFormula>D3</calculatedColumnFormula>
    </tableColumn>
    <tableColumn id="5" xr3:uid="{EDE0F351-AAAE-49C6-8432-08F2EABCF915}" name="CO2 footprint - Material production" totalsRowFunction="custom" dataDxfId="9" totalsRowDxfId="8">
      <totalsRowFormula>($A16*$D16*E16)+($A17*$D17*E17)+($A18*$D18*E18)+($A19*$D19*E19)+($A19*$D19*E19)</totalsRowFormula>
    </tableColumn>
    <tableColumn id="9" xr3:uid="{23CBACC3-A7E2-47F3-9BF4-4EE3E619A20F}" name="CO2 footprint - Transport" totalsRowFunction="sum" dataDxfId="7" totalsRowDxfId="6">
      <calculatedColumnFormula>U16</calculatedColumnFormula>
    </tableColumn>
    <tableColumn id="6" xr3:uid="{80779805-1AB0-4EB4-AA9E-8E8E733CACEF}" name="CO2 footprint - Primary process" totalsRowFunction="custom" dataDxfId="5" totalsRowDxfId="4">
      <calculatedColumnFormula>G3*(1/3.6)*0.133</calculatedColumnFormula>
      <totalsRowFormula>($A16*$D16*G16*(1/(1-I16)))+($A17*$D17*G17*(1/(1-I17)))+($A18*$D18*G18*(1/(1-I18)))+($A19*$D19*G19*(1/(1-I19)))+($A25*$D25*G25*(1/(1-I25)))</totalsRowFormula>
    </tableColumn>
    <tableColumn id="7" xr3:uid="{49C45928-83CF-459C-AB4B-0C8CAB643F50}" name="CO2 footprint - Secondary process" totalsRowFunction="custom" dataDxfId="3" totalsRowDxfId="2">
      <calculatedColumnFormula>H3*(1/3.6)*0.133</calculatedColumnFormula>
      <totalsRowFormula>($A16*$D16*H16*(1/(1-J15)))+($A17*$D17*H17*(1/(1-J16)))+($A18*$D18*H18*(1/(1-J17)))+($A19*$D19*H19*(1/(1-J18)))+($A25*$D25*H25*(1/(1-J19)))</totalsRowFormula>
    </tableColumn>
    <tableColumn id="8" xr3:uid="{C08C165C-5F3F-4FD9-A90B-18EADD61E3DF}" name="% removed" dataDxfId="1" totalsRowDxfId="0" dataCellStyle="Procent" totalsRowCellStyle="Procent">
      <calculatedColumnFormula>I3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energinet.dk/Om-nyheder/Nyheder/2021/01/19/Ny-Energinet-service-giver-danske-virksomheder-praecise-CO2-tal-til-groenne-regnskabe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FC0FA-CD23-9145-A8F6-B63B7EEC1CA6}">
  <sheetPr codeName="Ark1"/>
  <dimension ref="A1:U50"/>
  <sheetViews>
    <sheetView tabSelected="1" topLeftCell="B1" zoomScale="110" zoomScaleNormal="110" workbookViewId="0">
      <selection activeCell="G4" sqref="G4"/>
    </sheetView>
  </sheetViews>
  <sheetFormatPr defaultColWidth="11.54296875" defaultRowHeight="14.5" x14ac:dyDescent="0.35"/>
  <cols>
    <col min="1" max="1" width="9" bestFit="1" customWidth="1"/>
    <col min="2" max="2" width="20" bestFit="1" customWidth="1"/>
    <col min="3" max="3" width="12.7265625" customWidth="1"/>
    <col min="4" max="4" width="13.26953125" bestFit="1" customWidth="1"/>
    <col min="5" max="5" width="34" customWidth="1"/>
    <col min="6" max="6" width="29.1796875" bestFit="1" customWidth="1"/>
    <col min="7" max="7" width="31.1796875" bestFit="1" customWidth="1"/>
    <col min="8" max="8" width="20" customWidth="1"/>
    <col min="15" max="15" width="18.81640625" customWidth="1"/>
    <col min="16" max="16" width="15" customWidth="1"/>
    <col min="17" max="17" width="21.54296875" customWidth="1"/>
    <col min="19" max="19" width="18.453125" customWidth="1"/>
    <col min="21" max="21" width="20.7265625" customWidth="1"/>
  </cols>
  <sheetData>
    <row r="1" spans="1:21" ht="15" thickBot="1" x14ac:dyDescent="0.4">
      <c r="A1" s="42" t="s">
        <v>20</v>
      </c>
      <c r="K1" s="42" t="s">
        <v>28</v>
      </c>
    </row>
    <row r="2" spans="1:21" ht="15" thickBot="1" x14ac:dyDescent="0.4">
      <c r="A2" s="6" t="s">
        <v>2</v>
      </c>
      <c r="B2" s="7" t="s">
        <v>3</v>
      </c>
      <c r="C2" s="7" t="s">
        <v>7</v>
      </c>
      <c r="D2" s="7" t="s">
        <v>1</v>
      </c>
      <c r="E2" s="11" t="s">
        <v>5</v>
      </c>
      <c r="F2" s="29" t="s">
        <v>22</v>
      </c>
      <c r="G2" s="12" t="s">
        <v>4</v>
      </c>
      <c r="H2" s="13" t="s">
        <v>6</v>
      </c>
      <c r="I2" s="10" t="s">
        <v>0</v>
      </c>
      <c r="K2" s="43" t="s">
        <v>2</v>
      </c>
      <c r="L2" s="44" t="s">
        <v>27</v>
      </c>
      <c r="M2" s="44" t="s">
        <v>7</v>
      </c>
      <c r="N2" s="44" t="s">
        <v>1</v>
      </c>
      <c r="O2" s="44" t="s">
        <v>24</v>
      </c>
      <c r="P2" s="44" t="s">
        <v>25</v>
      </c>
      <c r="Q2" s="53" t="s">
        <v>45</v>
      </c>
      <c r="R2" s="53" t="s">
        <v>25</v>
      </c>
      <c r="S2" s="54" t="s">
        <v>46</v>
      </c>
      <c r="T2" s="53" t="s">
        <v>25</v>
      </c>
      <c r="U2" s="54" t="s">
        <v>23</v>
      </c>
    </row>
    <row r="3" spans="1:21" x14ac:dyDescent="0.35">
      <c r="A3" s="4">
        <v>1</v>
      </c>
      <c r="B3" s="1" t="s">
        <v>47</v>
      </c>
      <c r="C3" s="1" t="s">
        <v>49</v>
      </c>
      <c r="D3" s="91">
        <v>8.9999999999999993E-3</v>
      </c>
      <c r="E3" s="30">
        <v>4.2</v>
      </c>
      <c r="F3" s="124">
        <f t="shared" ref="F3:F12" si="0">U3</f>
        <v>4.1489999999999999E-2</v>
      </c>
      <c r="G3" s="33">
        <v>0</v>
      </c>
      <c r="H3" s="36"/>
      <c r="I3" s="37">
        <v>0</v>
      </c>
      <c r="K3" s="45">
        <f>Tabel1[[#This Row],[Qty]]</f>
        <v>1</v>
      </c>
      <c r="L3" s="46" t="str">
        <f>Tabel1[[#This Row],[Component name]]</f>
        <v>Material 1</v>
      </c>
      <c r="M3" s="46" t="str">
        <f>Tabel1[[#This Row],[Material]]</f>
        <v>Cork</v>
      </c>
      <c r="N3" s="100">
        <f>Tabel1[[#This Row],[Mass '[kg']]]</f>
        <v>8.9999999999999993E-3</v>
      </c>
      <c r="O3" s="97">
        <v>1.5E-3</v>
      </c>
      <c r="P3" s="73">
        <v>3000</v>
      </c>
      <c r="Q3" s="93">
        <v>2.2000000000000001E-3</v>
      </c>
      <c r="R3" s="77">
        <v>50</v>
      </c>
      <c r="S3" s="88"/>
      <c r="T3" s="77"/>
      <c r="U3" s="103">
        <f t="shared" ref="U3:U12" si="1">K3*(N3)*((O3*P3)+(Q3*R3)+(S3*T3))</f>
        <v>4.1489999999999999E-2</v>
      </c>
    </row>
    <row r="4" spans="1:21" x14ac:dyDescent="0.35">
      <c r="A4" s="66">
        <v>1</v>
      </c>
      <c r="B4" s="64" t="s">
        <v>48</v>
      </c>
      <c r="C4" s="64" t="s">
        <v>50</v>
      </c>
      <c r="D4" s="92">
        <v>3.5999999999999997E-2</v>
      </c>
      <c r="E4" s="31"/>
      <c r="F4" s="125">
        <f t="shared" si="0"/>
        <v>0.14925599999999997</v>
      </c>
      <c r="G4" s="34">
        <v>2.9998</v>
      </c>
      <c r="H4" s="38"/>
      <c r="I4" s="39">
        <v>0</v>
      </c>
      <c r="K4" s="47">
        <f>Tabel1[[#This Row],[Qty]]</f>
        <v>1</v>
      </c>
      <c r="L4" s="48" t="str">
        <f>Tabel1[[#This Row],[Component name]]</f>
        <v>Material 2</v>
      </c>
      <c r="M4" s="48" t="str">
        <f>Tabel1[[#This Row],[Material]]</f>
        <v>Pine resin</v>
      </c>
      <c r="N4" s="101">
        <f>Tabel1[[#This Row],[Mass '[kg']]]</f>
        <v>3.5999999999999997E-2</v>
      </c>
      <c r="O4" s="98">
        <v>1.7999999999999998E-4</v>
      </c>
      <c r="P4" s="74">
        <v>19000</v>
      </c>
      <c r="Q4" s="94">
        <v>2.2000000000000001E-3</v>
      </c>
      <c r="R4" s="78">
        <v>330</v>
      </c>
      <c r="S4" s="89"/>
      <c r="T4" s="78"/>
      <c r="U4" s="104">
        <f t="shared" si="1"/>
        <v>0.14925599999999997</v>
      </c>
    </row>
    <row r="5" spans="1:21" x14ac:dyDescent="0.35">
      <c r="A5" s="5">
        <v>0</v>
      </c>
      <c r="B5" s="2"/>
      <c r="C5" s="2"/>
      <c r="D5" s="19">
        <v>0</v>
      </c>
      <c r="E5" s="32"/>
      <c r="F5" s="57">
        <f t="shared" si="0"/>
        <v>0</v>
      </c>
      <c r="G5" s="35"/>
      <c r="H5" s="40"/>
      <c r="I5" s="41"/>
      <c r="K5" s="49">
        <f>Tabel1[[#This Row],[Qty]]</f>
        <v>0</v>
      </c>
      <c r="L5" s="50">
        <f>Tabel1[[#This Row],[Component name]]</f>
        <v>0</v>
      </c>
      <c r="M5" s="50">
        <f>Tabel1[[#This Row],[Material]]</f>
        <v>0</v>
      </c>
      <c r="N5" s="102">
        <f>Tabel1[[#This Row],[Mass '[kg']]]</f>
        <v>0</v>
      </c>
      <c r="O5" s="99">
        <v>0</v>
      </c>
      <c r="P5" s="75"/>
      <c r="Q5" s="94"/>
      <c r="R5" s="78"/>
      <c r="S5" s="89"/>
      <c r="T5" s="78"/>
      <c r="U5" s="104">
        <f t="shared" si="1"/>
        <v>0</v>
      </c>
    </row>
    <row r="6" spans="1:21" x14ac:dyDescent="0.35">
      <c r="A6" s="66">
        <v>0</v>
      </c>
      <c r="B6" s="64"/>
      <c r="C6" s="64"/>
      <c r="D6" s="65"/>
      <c r="E6" s="31"/>
      <c r="F6" s="56">
        <f t="shared" si="0"/>
        <v>0</v>
      </c>
      <c r="G6" s="34"/>
      <c r="H6" s="38"/>
      <c r="I6" s="39"/>
      <c r="K6" s="47">
        <f>Tabel1[[#This Row],[Qty]]</f>
        <v>0</v>
      </c>
      <c r="L6" s="48">
        <f>Tabel1[[#This Row],[Component name]]</f>
        <v>0</v>
      </c>
      <c r="M6" s="48">
        <f>Tabel1[[#This Row],[Material]]</f>
        <v>0</v>
      </c>
      <c r="N6" s="101">
        <f>Tabel1[[#This Row],[Mass '[kg']]]</f>
        <v>0</v>
      </c>
      <c r="O6" s="98"/>
      <c r="P6" s="74"/>
      <c r="Q6" s="94"/>
      <c r="R6" s="78"/>
      <c r="S6" s="89"/>
      <c r="T6" s="78"/>
      <c r="U6" s="104">
        <f t="shared" si="1"/>
        <v>0</v>
      </c>
    </row>
    <row r="7" spans="1:21" x14ac:dyDescent="0.35">
      <c r="A7" s="127">
        <v>0</v>
      </c>
      <c r="B7" s="127"/>
      <c r="C7" s="127"/>
      <c r="D7" s="128"/>
      <c r="E7" s="129"/>
      <c r="F7" s="57">
        <f>U7</f>
        <v>0</v>
      </c>
      <c r="G7" s="130"/>
      <c r="H7" s="131"/>
      <c r="I7" s="132"/>
      <c r="K7" s="47">
        <f>Tabel1[[#This Row],[Qty]]</f>
        <v>0</v>
      </c>
      <c r="L7" s="48">
        <f>Tabel1[[#This Row],[Component name]]</f>
        <v>0</v>
      </c>
      <c r="M7" s="48">
        <f>Tabel1[[#This Row],[Material]]</f>
        <v>0</v>
      </c>
      <c r="N7" s="101">
        <f>Tabel1[[#This Row],[Mass '[kg']]]</f>
        <v>0</v>
      </c>
      <c r="O7" s="98"/>
      <c r="P7" s="126"/>
      <c r="Q7" s="94"/>
      <c r="R7" s="78"/>
      <c r="S7" s="89"/>
      <c r="T7" s="78"/>
      <c r="U7" s="104">
        <f t="shared" si="1"/>
        <v>0</v>
      </c>
    </row>
    <row r="8" spans="1:21" x14ac:dyDescent="0.35">
      <c r="A8" s="127">
        <v>0</v>
      </c>
      <c r="B8" s="127"/>
      <c r="C8" s="127"/>
      <c r="D8" s="128"/>
      <c r="E8" s="129"/>
      <c r="F8" s="57">
        <f>U8</f>
        <v>0</v>
      </c>
      <c r="G8" s="130"/>
      <c r="H8" s="131"/>
      <c r="I8" s="132"/>
      <c r="K8" s="47">
        <f>Tabel1[[#This Row],[Qty]]</f>
        <v>0</v>
      </c>
      <c r="L8" s="48">
        <f>Tabel1[[#This Row],[Component name]]</f>
        <v>0</v>
      </c>
      <c r="M8" s="48">
        <f>Tabel1[[#This Row],[Material]]</f>
        <v>0</v>
      </c>
      <c r="N8" s="101">
        <f>Tabel1[[#This Row],[Mass '[kg']]]</f>
        <v>0</v>
      </c>
      <c r="O8" s="98"/>
      <c r="P8" s="126"/>
      <c r="Q8" s="94"/>
      <c r="R8" s="78"/>
      <c r="S8" s="89"/>
      <c r="T8" s="78"/>
      <c r="U8" s="104">
        <f t="shared" si="1"/>
        <v>0</v>
      </c>
    </row>
    <row r="9" spans="1:21" x14ac:dyDescent="0.35">
      <c r="A9" s="127">
        <v>0</v>
      </c>
      <c r="B9" s="127"/>
      <c r="C9" s="127"/>
      <c r="D9" s="128"/>
      <c r="E9" s="129"/>
      <c r="F9" s="57">
        <f>U9</f>
        <v>0</v>
      </c>
      <c r="G9" s="130"/>
      <c r="H9" s="131"/>
      <c r="I9" s="132"/>
      <c r="K9" s="47">
        <f>Tabel1[[#This Row],[Qty]]</f>
        <v>0</v>
      </c>
      <c r="L9" s="48">
        <f>Tabel1[[#This Row],[Component name]]</f>
        <v>0</v>
      </c>
      <c r="M9" s="48">
        <f>Tabel1[[#This Row],[Material]]</f>
        <v>0</v>
      </c>
      <c r="N9" s="101">
        <f>Tabel1[[#This Row],[Mass '[kg']]]</f>
        <v>0</v>
      </c>
      <c r="O9" s="98"/>
      <c r="P9" s="126"/>
      <c r="Q9" s="94"/>
      <c r="R9" s="78"/>
      <c r="S9" s="89"/>
      <c r="T9" s="78"/>
      <c r="U9" s="104">
        <f t="shared" si="1"/>
        <v>0</v>
      </c>
    </row>
    <row r="10" spans="1:21" x14ac:dyDescent="0.35">
      <c r="A10" s="127">
        <v>0</v>
      </c>
      <c r="B10" s="127"/>
      <c r="C10" s="127"/>
      <c r="D10" s="128"/>
      <c r="E10" s="129"/>
      <c r="F10" s="57">
        <f>U10</f>
        <v>0</v>
      </c>
      <c r="G10" s="130"/>
      <c r="H10" s="131"/>
      <c r="I10" s="132"/>
      <c r="K10" s="47">
        <f>Tabel1[[#This Row],[Qty]]</f>
        <v>0</v>
      </c>
      <c r="L10" s="48">
        <f>Tabel1[[#This Row],[Component name]]</f>
        <v>0</v>
      </c>
      <c r="M10" s="48">
        <f>Tabel1[[#This Row],[Material]]</f>
        <v>0</v>
      </c>
      <c r="N10" s="101">
        <f>Tabel1[[#This Row],[Mass '[kg']]]</f>
        <v>0</v>
      </c>
      <c r="O10" s="98"/>
      <c r="P10" s="126"/>
      <c r="Q10" s="94"/>
      <c r="R10" s="78"/>
      <c r="S10" s="89"/>
      <c r="T10" s="78"/>
      <c r="U10" s="104">
        <f t="shared" si="1"/>
        <v>0</v>
      </c>
    </row>
    <row r="11" spans="1:21" x14ac:dyDescent="0.35">
      <c r="A11" s="127">
        <v>0</v>
      </c>
      <c r="B11" s="127"/>
      <c r="C11" s="127"/>
      <c r="D11" s="128"/>
      <c r="E11" s="129"/>
      <c r="F11" s="57">
        <f>U11</f>
        <v>0</v>
      </c>
      <c r="G11" s="130"/>
      <c r="H11" s="131"/>
      <c r="I11" s="132"/>
      <c r="K11" s="47">
        <f>Tabel1[[#This Row],[Qty]]</f>
        <v>0</v>
      </c>
      <c r="L11" s="48">
        <f>Tabel1[[#This Row],[Component name]]</f>
        <v>0</v>
      </c>
      <c r="M11" s="48">
        <f>Tabel1[[#This Row],[Material]]</f>
        <v>0</v>
      </c>
      <c r="N11" s="101">
        <f>Tabel1[[#This Row],[Mass '[kg']]]</f>
        <v>0</v>
      </c>
      <c r="O11" s="98"/>
      <c r="P11" s="126"/>
      <c r="Q11" s="94"/>
      <c r="R11" s="78"/>
      <c r="S11" s="89"/>
      <c r="T11" s="78"/>
      <c r="U11" s="104">
        <f t="shared" si="1"/>
        <v>0</v>
      </c>
    </row>
    <row r="12" spans="1:21" ht="15" thickBot="1" x14ac:dyDescent="0.4">
      <c r="A12" s="5">
        <v>0</v>
      </c>
      <c r="B12" s="2"/>
      <c r="C12" s="2"/>
      <c r="D12" s="19"/>
      <c r="E12" s="32"/>
      <c r="F12" s="57">
        <f t="shared" si="0"/>
        <v>0</v>
      </c>
      <c r="G12" s="35"/>
      <c r="H12" s="40"/>
      <c r="I12" s="41"/>
      <c r="K12" s="49">
        <f>Tabel1[[#This Row],[Qty]]</f>
        <v>0</v>
      </c>
      <c r="L12" s="50">
        <f>Tabel1[[#This Row],[Component name]]</f>
        <v>0</v>
      </c>
      <c r="M12" s="50">
        <f>Tabel1[[#This Row],[Material]]</f>
        <v>0</v>
      </c>
      <c r="N12" s="102">
        <f>Tabel1[[#This Row],[Mass '[kg']]]</f>
        <v>0</v>
      </c>
      <c r="O12" s="99"/>
      <c r="P12" s="76"/>
      <c r="Q12" s="95"/>
      <c r="R12" s="79"/>
      <c r="S12" s="90"/>
      <c r="T12" s="79"/>
      <c r="U12" s="104">
        <f t="shared" si="1"/>
        <v>0</v>
      </c>
    </row>
    <row r="13" spans="1:21" ht="15.5" thickTop="1" thickBot="1" x14ac:dyDescent="0.4">
      <c r="A13" s="8"/>
      <c r="B13" s="9"/>
      <c r="C13" s="9"/>
      <c r="D13" s="9"/>
      <c r="E13" s="122">
        <f>($A3*$D3*E3)+($A4*$D4*E4)+($A5*$D5*E5)+($A6*$D6*E6)+($A12*$D12*E12)</f>
        <v>3.78E-2</v>
      </c>
      <c r="F13" s="122">
        <f>SUBTOTAL(109,Tabel1[Embod. Energy - Transport])</f>
        <v>0.19074599999999997</v>
      </c>
      <c r="G13" s="123">
        <f>($A3*$D3*G3*(1/(1-I3)))+($A4*$D4*G4*(1/(1-I4)))+($A5*$D5*G5*(1/(1-I5)))+($A6*$D6*G6*(1/(1-I6)))+($A12*$D12*G12*(1/(1-I12)))</f>
        <v>0.10799279999999999</v>
      </c>
      <c r="H13" s="123">
        <f>($A3*$D3*H3*((1/(1-I3))-1))+($A4*$D4*H4*((1/(1-I4))-1))+($A5*$D5*H5*((1/(1-I5))-1))+($A6*$D6*H6*((1/(1-I6))-1))+($A12*$D12*H12*((1/(1-I12))-1))</f>
        <v>0</v>
      </c>
      <c r="I13" s="14"/>
      <c r="K13" s="51"/>
      <c r="L13" s="52"/>
      <c r="M13" s="52"/>
      <c r="N13" s="52"/>
      <c r="O13" s="96"/>
      <c r="P13" s="80"/>
      <c r="Q13" s="96"/>
      <c r="R13" s="80"/>
      <c r="S13" s="87"/>
      <c r="T13" s="80"/>
      <c r="U13" s="72"/>
    </row>
    <row r="14" spans="1:21" ht="15" thickBot="1" x14ac:dyDescent="0.4">
      <c r="A14" s="42" t="s">
        <v>21</v>
      </c>
      <c r="F14" s="28"/>
      <c r="K14" s="42" t="s">
        <v>29</v>
      </c>
    </row>
    <row r="15" spans="1:21" ht="15" thickBot="1" x14ac:dyDescent="0.4">
      <c r="A15" s="22" t="s">
        <v>2</v>
      </c>
      <c r="B15" s="23" t="s">
        <v>3</v>
      </c>
      <c r="C15" s="23" t="s">
        <v>7</v>
      </c>
      <c r="D15" s="23" t="s">
        <v>1</v>
      </c>
      <c r="E15" s="24" t="s">
        <v>10</v>
      </c>
      <c r="F15" s="55" t="s">
        <v>19</v>
      </c>
      <c r="G15" s="12" t="s">
        <v>11</v>
      </c>
      <c r="H15" s="13" t="s">
        <v>12</v>
      </c>
      <c r="I15" s="25" t="s">
        <v>0</v>
      </c>
      <c r="K15" s="43" t="s">
        <v>2</v>
      </c>
      <c r="L15" s="44" t="s">
        <v>27</v>
      </c>
      <c r="M15" s="44" t="s">
        <v>7</v>
      </c>
      <c r="N15" s="44" t="s">
        <v>1</v>
      </c>
      <c r="O15" s="83" t="s">
        <v>24</v>
      </c>
      <c r="P15" s="44" t="s">
        <v>25</v>
      </c>
      <c r="Q15" s="53" t="s">
        <v>26</v>
      </c>
      <c r="R15" s="53" t="s">
        <v>25</v>
      </c>
      <c r="S15" s="54" t="s">
        <v>26</v>
      </c>
      <c r="T15" s="53" t="s">
        <v>25</v>
      </c>
      <c r="U15" s="54" t="s">
        <v>23</v>
      </c>
    </row>
    <row r="16" spans="1:21" x14ac:dyDescent="0.35">
      <c r="A16" s="67">
        <f t="shared" ref="A16:D21" si="2">A3</f>
        <v>1</v>
      </c>
      <c r="B16" s="58" t="str">
        <f t="shared" si="2"/>
        <v>Material 1</v>
      </c>
      <c r="C16" s="58" t="str">
        <f t="shared" si="2"/>
        <v>Cork</v>
      </c>
      <c r="D16" s="59">
        <f t="shared" si="2"/>
        <v>8.9999999999999993E-3</v>
      </c>
      <c r="E16" s="119">
        <v>0.59399999999999997</v>
      </c>
      <c r="F16" s="111">
        <f>U16</f>
        <v>3.9059999999999997E-3</v>
      </c>
      <c r="G16" s="116">
        <f t="shared" ref="G16:H21" si="3">G3*(1/3.6)*0.133</f>
        <v>0</v>
      </c>
      <c r="H16" s="16">
        <f t="shared" si="3"/>
        <v>0</v>
      </c>
      <c r="I16" s="20">
        <f t="shared" ref="I16:I21" si="4">I3</f>
        <v>0</v>
      </c>
      <c r="K16" s="45">
        <f t="shared" ref="K16:N19" si="5">A3</f>
        <v>1</v>
      </c>
      <c r="L16" s="46" t="str">
        <f t="shared" si="5"/>
        <v>Material 1</v>
      </c>
      <c r="M16" s="46" t="str">
        <f t="shared" si="5"/>
        <v>Cork</v>
      </c>
      <c r="N16" s="100">
        <f t="shared" si="5"/>
        <v>8.9999999999999993E-3</v>
      </c>
      <c r="O16" s="108">
        <f>O3*0.072</f>
        <v>1.08E-4</v>
      </c>
      <c r="P16" s="82">
        <f t="shared" ref="P16:T17" si="6">P3</f>
        <v>3000</v>
      </c>
      <c r="Q16" s="105">
        <f t="shared" si="6"/>
        <v>2.2000000000000001E-3</v>
      </c>
      <c r="R16" s="77">
        <f t="shared" si="6"/>
        <v>50</v>
      </c>
      <c r="S16" s="105">
        <f t="shared" si="6"/>
        <v>0</v>
      </c>
      <c r="T16" s="77">
        <f t="shared" si="6"/>
        <v>0</v>
      </c>
      <c r="U16" s="105">
        <f>K16*(N16)*((O16*P16)+(Q16*R16)+(S16*T16))</f>
        <v>3.9059999999999997E-3</v>
      </c>
    </row>
    <row r="17" spans="1:21" x14ac:dyDescent="0.35">
      <c r="A17" s="68">
        <f t="shared" si="2"/>
        <v>1</v>
      </c>
      <c r="B17" s="60" t="str">
        <f t="shared" si="2"/>
        <v>Material 2</v>
      </c>
      <c r="C17" s="60" t="str">
        <f t="shared" si="2"/>
        <v>Pine resin</v>
      </c>
      <c r="D17" s="61">
        <f t="shared" si="2"/>
        <v>3.5999999999999997E-2</v>
      </c>
      <c r="E17" s="120"/>
      <c r="F17" s="112">
        <f t="shared" ref="F17:F25" si="7">U17</f>
        <v>3.500064E-2</v>
      </c>
      <c r="G17" s="117">
        <f t="shared" si="3"/>
        <v>0.11082594444444445</v>
      </c>
      <c r="H17" s="17">
        <f t="shared" si="3"/>
        <v>0</v>
      </c>
      <c r="I17" s="21">
        <f t="shared" si="4"/>
        <v>0</v>
      </c>
      <c r="K17" s="47">
        <f t="shared" si="5"/>
        <v>1</v>
      </c>
      <c r="L17" s="48" t="str">
        <f t="shared" si="5"/>
        <v>Material 2</v>
      </c>
      <c r="M17" s="48" t="str">
        <f t="shared" si="5"/>
        <v>Pine resin</v>
      </c>
      <c r="N17" s="101">
        <f t="shared" si="5"/>
        <v>3.5999999999999997E-2</v>
      </c>
      <c r="O17" s="109">
        <f>O4*0.072</f>
        <v>1.2959999999999998E-5</v>
      </c>
      <c r="P17" s="74">
        <f t="shared" si="6"/>
        <v>19000</v>
      </c>
      <c r="Q17" s="106">
        <f t="shared" si="6"/>
        <v>2.2000000000000001E-3</v>
      </c>
      <c r="R17" s="78">
        <f t="shared" si="6"/>
        <v>330</v>
      </c>
      <c r="S17" s="106">
        <f t="shared" si="6"/>
        <v>0</v>
      </c>
      <c r="T17" s="78">
        <f t="shared" si="6"/>
        <v>0</v>
      </c>
      <c r="U17" s="106">
        <f>K17*N17*((O17*P17)+(Q17*R17)+(S17*T17))</f>
        <v>3.500064E-2</v>
      </c>
    </row>
    <row r="18" spans="1:21" x14ac:dyDescent="0.35">
      <c r="A18" s="69">
        <f t="shared" si="2"/>
        <v>0</v>
      </c>
      <c r="B18" s="62">
        <f t="shared" si="2"/>
        <v>0</v>
      </c>
      <c r="C18" s="62">
        <f t="shared" si="2"/>
        <v>0</v>
      </c>
      <c r="D18" s="63">
        <f t="shared" si="2"/>
        <v>0</v>
      </c>
      <c r="E18" s="121"/>
      <c r="F18" s="113">
        <f t="shared" si="7"/>
        <v>0</v>
      </c>
      <c r="G18" s="118">
        <f t="shared" si="3"/>
        <v>0</v>
      </c>
      <c r="H18" s="18">
        <f t="shared" si="3"/>
        <v>0</v>
      </c>
      <c r="I18" s="20">
        <f t="shared" si="4"/>
        <v>0</v>
      </c>
      <c r="K18" s="49">
        <f t="shared" si="5"/>
        <v>0</v>
      </c>
      <c r="L18" s="50">
        <f t="shared" si="5"/>
        <v>0</v>
      </c>
      <c r="M18" s="48">
        <f t="shared" si="5"/>
        <v>0</v>
      </c>
      <c r="N18" s="101">
        <f t="shared" si="5"/>
        <v>0</v>
      </c>
      <c r="O18" s="109">
        <f t="shared" ref="O18:O25" si="8">O5*0.072</f>
        <v>0</v>
      </c>
      <c r="P18" s="75">
        <f>P5</f>
        <v>0</v>
      </c>
      <c r="Q18" s="106">
        <f t="shared" ref="Q18:T25" si="9">Q5</f>
        <v>0</v>
      </c>
      <c r="R18" s="78">
        <f t="shared" si="9"/>
        <v>0</v>
      </c>
      <c r="S18" s="106">
        <f t="shared" si="9"/>
        <v>0</v>
      </c>
      <c r="T18" s="78">
        <f t="shared" si="9"/>
        <v>0</v>
      </c>
      <c r="U18" s="106">
        <f t="shared" ref="U18:U25" si="10">K18*N18*((O18*P18)+(Q18*R18)+(S18*T18))</f>
        <v>0</v>
      </c>
    </row>
    <row r="19" spans="1:21" x14ac:dyDescent="0.35">
      <c r="A19" s="68">
        <f t="shared" si="2"/>
        <v>0</v>
      </c>
      <c r="B19" s="62">
        <f t="shared" si="2"/>
        <v>0</v>
      </c>
      <c r="C19" s="62">
        <f t="shared" si="2"/>
        <v>0</v>
      </c>
      <c r="D19" s="63">
        <f t="shared" si="2"/>
        <v>0</v>
      </c>
      <c r="E19" s="120"/>
      <c r="F19" s="112">
        <f t="shared" si="7"/>
        <v>0</v>
      </c>
      <c r="G19" s="117">
        <f t="shared" si="3"/>
        <v>0</v>
      </c>
      <c r="H19" s="17">
        <f t="shared" si="3"/>
        <v>0</v>
      </c>
      <c r="I19" s="21">
        <f t="shared" si="4"/>
        <v>0</v>
      </c>
      <c r="K19" s="47">
        <f t="shared" si="5"/>
        <v>0</v>
      </c>
      <c r="L19" s="48">
        <f t="shared" si="5"/>
        <v>0</v>
      </c>
      <c r="M19" s="48">
        <f t="shared" si="5"/>
        <v>0</v>
      </c>
      <c r="N19" s="101">
        <f t="shared" si="5"/>
        <v>0</v>
      </c>
      <c r="O19" s="109">
        <f t="shared" si="8"/>
        <v>0</v>
      </c>
      <c r="P19" s="75">
        <f t="shared" ref="P19:P25" si="11">P6</f>
        <v>0</v>
      </c>
      <c r="Q19" s="106">
        <f t="shared" si="9"/>
        <v>0</v>
      </c>
      <c r="R19" s="78">
        <f t="shared" si="9"/>
        <v>0</v>
      </c>
      <c r="S19" s="106">
        <f t="shared" si="9"/>
        <v>0</v>
      </c>
      <c r="T19" s="78">
        <f t="shared" si="9"/>
        <v>0</v>
      </c>
      <c r="U19" s="106">
        <f t="shared" si="10"/>
        <v>0</v>
      </c>
    </row>
    <row r="20" spans="1:21" x14ac:dyDescent="0.35">
      <c r="A20" s="133">
        <f t="shared" si="2"/>
        <v>0</v>
      </c>
      <c r="B20" s="134">
        <f t="shared" si="2"/>
        <v>0</v>
      </c>
      <c r="C20" s="134">
        <f t="shared" si="2"/>
        <v>0</v>
      </c>
      <c r="D20" s="135">
        <f t="shared" si="2"/>
        <v>0</v>
      </c>
      <c r="E20" s="136"/>
      <c r="F20" s="137">
        <f>U20</f>
        <v>0</v>
      </c>
      <c r="G20" s="139">
        <f t="shared" si="3"/>
        <v>0</v>
      </c>
      <c r="H20" s="138">
        <f t="shared" si="3"/>
        <v>0</v>
      </c>
      <c r="I20" s="20">
        <f t="shared" si="4"/>
        <v>0</v>
      </c>
      <c r="K20" s="47">
        <f t="shared" ref="K20:K24" si="12">A7</f>
        <v>0</v>
      </c>
      <c r="L20" s="48">
        <f t="shared" ref="L20:L24" si="13">B7</f>
        <v>0</v>
      </c>
      <c r="M20" s="48">
        <f t="shared" ref="M20:M24" si="14">C7</f>
        <v>0</v>
      </c>
      <c r="N20" s="101">
        <f t="shared" ref="N20:N24" si="15">D7</f>
        <v>0</v>
      </c>
      <c r="O20" s="109">
        <f t="shared" si="8"/>
        <v>0</v>
      </c>
      <c r="P20" s="75">
        <f t="shared" si="11"/>
        <v>0</v>
      </c>
      <c r="Q20" s="106">
        <f t="shared" si="9"/>
        <v>0</v>
      </c>
      <c r="R20" s="78">
        <f t="shared" si="9"/>
        <v>0</v>
      </c>
      <c r="S20" s="106">
        <f t="shared" si="9"/>
        <v>0</v>
      </c>
      <c r="T20" s="78">
        <f t="shared" si="9"/>
        <v>0</v>
      </c>
      <c r="U20" s="106">
        <f t="shared" si="10"/>
        <v>0</v>
      </c>
    </row>
    <row r="21" spans="1:21" x14ac:dyDescent="0.35">
      <c r="A21" s="133">
        <f t="shared" si="2"/>
        <v>0</v>
      </c>
      <c r="B21" s="134">
        <f t="shared" si="2"/>
        <v>0</v>
      </c>
      <c r="C21" s="134">
        <f t="shared" si="2"/>
        <v>0</v>
      </c>
      <c r="D21" s="135">
        <f t="shared" si="2"/>
        <v>0</v>
      </c>
      <c r="E21" s="136"/>
      <c r="F21" s="137">
        <f>U21</f>
        <v>0</v>
      </c>
      <c r="G21" s="139">
        <f t="shared" si="3"/>
        <v>0</v>
      </c>
      <c r="H21" s="138">
        <f t="shared" si="3"/>
        <v>0</v>
      </c>
      <c r="I21" s="20">
        <f t="shared" si="4"/>
        <v>0</v>
      </c>
      <c r="K21" s="47">
        <f t="shared" si="12"/>
        <v>0</v>
      </c>
      <c r="L21" s="48">
        <f t="shared" si="13"/>
        <v>0</v>
      </c>
      <c r="M21" s="48">
        <f t="shared" si="14"/>
        <v>0</v>
      </c>
      <c r="N21" s="101">
        <f t="shared" si="15"/>
        <v>0</v>
      </c>
      <c r="O21" s="109">
        <f t="shared" si="8"/>
        <v>0</v>
      </c>
      <c r="P21" s="75">
        <f t="shared" si="11"/>
        <v>0</v>
      </c>
      <c r="Q21" s="106">
        <f t="shared" si="9"/>
        <v>0</v>
      </c>
      <c r="R21" s="78">
        <f t="shared" si="9"/>
        <v>0</v>
      </c>
      <c r="S21" s="106">
        <f t="shared" si="9"/>
        <v>0</v>
      </c>
      <c r="T21" s="78">
        <f t="shared" si="9"/>
        <v>0</v>
      </c>
      <c r="U21" s="106">
        <f t="shared" si="10"/>
        <v>0</v>
      </c>
    </row>
    <row r="22" spans="1:21" x14ac:dyDescent="0.35">
      <c r="A22" s="133">
        <f>A8</f>
        <v>0</v>
      </c>
      <c r="B22" s="134">
        <f>B8</f>
        <v>0</v>
      </c>
      <c r="C22" s="134">
        <f>C8</f>
        <v>0</v>
      </c>
      <c r="D22" s="135">
        <f>D8</f>
        <v>0</v>
      </c>
      <c r="E22" s="136"/>
      <c r="F22" s="137">
        <f>U22</f>
        <v>0</v>
      </c>
      <c r="G22" s="139">
        <f>G8*(1/3.6)*0.133</f>
        <v>0</v>
      </c>
      <c r="H22" s="138">
        <f>H8*(1/3.6)*0.133</f>
        <v>0</v>
      </c>
      <c r="I22" s="20">
        <f>I8</f>
        <v>0</v>
      </c>
      <c r="K22" s="47">
        <f t="shared" si="12"/>
        <v>0</v>
      </c>
      <c r="L22" s="48">
        <f t="shared" si="13"/>
        <v>0</v>
      </c>
      <c r="M22" s="48">
        <f t="shared" si="14"/>
        <v>0</v>
      </c>
      <c r="N22" s="101">
        <f t="shared" si="15"/>
        <v>0</v>
      </c>
      <c r="O22" s="109">
        <f t="shared" si="8"/>
        <v>0</v>
      </c>
      <c r="P22" s="75">
        <f t="shared" si="11"/>
        <v>0</v>
      </c>
      <c r="Q22" s="106">
        <f t="shared" si="9"/>
        <v>0</v>
      </c>
      <c r="R22" s="78">
        <f t="shared" si="9"/>
        <v>0</v>
      </c>
      <c r="S22" s="106">
        <f t="shared" si="9"/>
        <v>0</v>
      </c>
      <c r="T22" s="78">
        <f t="shared" si="9"/>
        <v>0</v>
      </c>
      <c r="U22" s="106">
        <f t="shared" si="10"/>
        <v>0</v>
      </c>
    </row>
    <row r="23" spans="1:21" x14ac:dyDescent="0.35">
      <c r="A23" s="133">
        <f>A10</f>
        <v>0</v>
      </c>
      <c r="B23" s="134">
        <f>B10</f>
        <v>0</v>
      </c>
      <c r="C23" s="134">
        <f>C10</f>
        <v>0</v>
      </c>
      <c r="D23" s="135">
        <f>D10</f>
        <v>0</v>
      </c>
      <c r="E23" s="136"/>
      <c r="F23" s="137">
        <f>U23</f>
        <v>0</v>
      </c>
      <c r="G23" s="139">
        <f>G10*(1/3.6)*0.133</f>
        <v>0</v>
      </c>
      <c r="H23" s="138">
        <f>H10*(1/3.6)*0.133</f>
        <v>0</v>
      </c>
      <c r="I23" s="20">
        <f>I10</f>
        <v>0</v>
      </c>
      <c r="K23" s="47">
        <f t="shared" si="12"/>
        <v>0</v>
      </c>
      <c r="L23" s="48">
        <f t="shared" si="13"/>
        <v>0</v>
      </c>
      <c r="M23" s="48">
        <f t="shared" si="14"/>
        <v>0</v>
      </c>
      <c r="N23" s="101">
        <f t="shared" si="15"/>
        <v>0</v>
      </c>
      <c r="O23" s="109">
        <f t="shared" si="8"/>
        <v>0</v>
      </c>
      <c r="P23" s="75">
        <f t="shared" si="11"/>
        <v>0</v>
      </c>
      <c r="Q23" s="106">
        <f t="shared" si="9"/>
        <v>0</v>
      </c>
      <c r="R23" s="78">
        <f t="shared" si="9"/>
        <v>0</v>
      </c>
      <c r="S23" s="106">
        <f t="shared" si="9"/>
        <v>0</v>
      </c>
      <c r="T23" s="78">
        <f t="shared" si="9"/>
        <v>0</v>
      </c>
      <c r="U23" s="106">
        <f t="shared" si="10"/>
        <v>0</v>
      </c>
    </row>
    <row r="24" spans="1:21" x14ac:dyDescent="0.35">
      <c r="A24" s="133">
        <f>A7</f>
        <v>0</v>
      </c>
      <c r="B24" s="134">
        <f>B7</f>
        <v>0</v>
      </c>
      <c r="C24" s="134">
        <f>C7</f>
        <v>0</v>
      </c>
      <c r="D24" s="135">
        <f>D7</f>
        <v>0</v>
      </c>
      <c r="E24" s="136"/>
      <c r="F24" s="137">
        <f>U24</f>
        <v>0</v>
      </c>
      <c r="G24" s="139">
        <f>G7*(1/3.6)*0.133</f>
        <v>0</v>
      </c>
      <c r="H24" s="138">
        <f>H7*(1/3.6)*0.133</f>
        <v>0</v>
      </c>
      <c r="I24" s="20">
        <f>I7</f>
        <v>0</v>
      </c>
      <c r="K24" s="47">
        <f t="shared" si="12"/>
        <v>0</v>
      </c>
      <c r="L24" s="48">
        <f t="shared" si="13"/>
        <v>0</v>
      </c>
      <c r="M24" s="48">
        <f t="shared" si="14"/>
        <v>0</v>
      </c>
      <c r="N24" s="101">
        <f t="shared" si="15"/>
        <v>0</v>
      </c>
      <c r="O24" s="109">
        <f t="shared" si="8"/>
        <v>0</v>
      </c>
      <c r="P24" s="75">
        <f t="shared" si="11"/>
        <v>0</v>
      </c>
      <c r="Q24" s="106">
        <f t="shared" si="9"/>
        <v>0</v>
      </c>
      <c r="R24" s="78">
        <f t="shared" si="9"/>
        <v>0</v>
      </c>
      <c r="S24" s="106">
        <f t="shared" si="9"/>
        <v>0</v>
      </c>
      <c r="T24" s="78">
        <f t="shared" si="9"/>
        <v>0</v>
      </c>
      <c r="U24" s="106">
        <f t="shared" si="10"/>
        <v>0</v>
      </c>
    </row>
    <row r="25" spans="1:21" ht="15" thickBot="1" x14ac:dyDescent="0.4">
      <c r="A25" s="69">
        <f t="shared" ref="A25:D25" si="16">A12</f>
        <v>0</v>
      </c>
      <c r="B25" s="62">
        <f t="shared" si="16"/>
        <v>0</v>
      </c>
      <c r="C25" s="62">
        <f t="shared" si="16"/>
        <v>0</v>
      </c>
      <c r="D25" s="63">
        <f t="shared" si="16"/>
        <v>0</v>
      </c>
      <c r="E25" s="121"/>
      <c r="F25" s="113">
        <f t="shared" si="7"/>
        <v>0</v>
      </c>
      <c r="G25" s="118">
        <f t="shared" ref="G25:H25" si="17">G12*(1/3.6)*0.133</f>
        <v>0</v>
      </c>
      <c r="H25" s="18">
        <f t="shared" si="17"/>
        <v>0</v>
      </c>
      <c r="I25" s="20">
        <f>I12</f>
        <v>0</v>
      </c>
      <c r="K25" s="49">
        <f t="shared" ref="K25:L25" si="18">A12</f>
        <v>0</v>
      </c>
      <c r="L25" s="50">
        <f t="shared" si="18"/>
        <v>0</v>
      </c>
      <c r="M25" s="48">
        <f t="shared" ref="M25" si="19">C12</f>
        <v>0</v>
      </c>
      <c r="N25" s="101">
        <f t="shared" ref="N25" si="20">D12</f>
        <v>0</v>
      </c>
      <c r="O25" s="109">
        <f t="shared" si="8"/>
        <v>0</v>
      </c>
      <c r="P25" s="75">
        <f t="shared" si="11"/>
        <v>0</v>
      </c>
      <c r="Q25" s="106">
        <f t="shared" si="9"/>
        <v>0</v>
      </c>
      <c r="R25" s="78">
        <f t="shared" si="9"/>
        <v>0</v>
      </c>
      <c r="S25" s="106">
        <f t="shared" si="9"/>
        <v>0</v>
      </c>
      <c r="T25" s="78">
        <f t="shared" si="9"/>
        <v>0</v>
      </c>
      <c r="U25" s="106">
        <f t="shared" si="10"/>
        <v>0</v>
      </c>
    </row>
    <row r="26" spans="1:21" ht="15.5" thickTop="1" thickBot="1" x14ac:dyDescent="0.4">
      <c r="A26" s="70"/>
      <c r="B26" s="71"/>
      <c r="C26" s="71"/>
      <c r="D26" s="71"/>
      <c r="E26" s="114">
        <f>($A16*$D16*E16)+($A17*$D17*E17)+($A18*$D18*E18)+($A19*$D19*E19)+($A19*$D19*E19)</f>
        <v>5.3459999999999992E-3</v>
      </c>
      <c r="F26" s="114">
        <f>SUBTOTAL(109,Tabel5[CO2 footprint - Transport])</f>
        <v>3.8906639999999999E-2</v>
      </c>
      <c r="G26" s="118">
        <f>($A16*$D16*G16*(1/(1-I16)))+($A17*$D17*G17*(1/(1-I17)))+($A18*$D18*G18*(1/(1-I18)))+($A19*$D19*G19*(1/(1-I19)))+($A25*$D25*G25*(1/(1-I25)))</f>
        <v>3.989734E-3</v>
      </c>
      <c r="H26" s="27">
        <f>($A16*$D16*H16*(1/(1-J15)))+($A17*$D17*H17*(1/(1-J16)))+($A18*$D18*H18*(1/(1-J17)))+($A19*$D19*H19*(1/(1-J18)))+($A25*$D25*H25*(1/(1-J19)))</f>
        <v>0</v>
      </c>
      <c r="I26" s="20"/>
      <c r="K26" s="51"/>
      <c r="L26" s="52"/>
      <c r="M26" s="52"/>
      <c r="N26" s="52"/>
      <c r="O26" s="110"/>
      <c r="P26" s="80"/>
      <c r="Q26" s="110"/>
      <c r="R26" s="80"/>
      <c r="S26" s="110"/>
      <c r="T26" s="80"/>
      <c r="U26" s="107"/>
    </row>
    <row r="27" spans="1:21" x14ac:dyDescent="0.35">
      <c r="B27" s="3"/>
      <c r="C27" s="3"/>
    </row>
    <row r="28" spans="1:21" x14ac:dyDescent="0.35">
      <c r="B28" s="3"/>
      <c r="C28" s="3"/>
    </row>
    <row r="30" spans="1:21" x14ac:dyDescent="0.35">
      <c r="Q30" s="42"/>
      <c r="R30" s="81"/>
    </row>
    <row r="36" spans="18:18" x14ac:dyDescent="0.35">
      <c r="R36" s="86"/>
    </row>
    <row r="50" spans="7:7" x14ac:dyDescent="0.35">
      <c r="G50" s="85"/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5C9FD8-7CAE-4791-BE4B-C2809478E4E9}">
          <x14:formula1>
            <xm:f>LIST!$A$9:$A$22</xm:f>
          </x14:formula1>
          <xm:sqref>S3:S12 O3:O12 Q3:Q12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2E9E5-C152-7341-9549-5C05554C70C8}">
  <sheetPr codeName="Ark2"/>
  <dimension ref="A1:I22"/>
  <sheetViews>
    <sheetView topLeftCell="A4" zoomScaleNormal="100" workbookViewId="0">
      <selection activeCell="B23" sqref="B23"/>
    </sheetView>
  </sheetViews>
  <sheetFormatPr defaultColWidth="11.54296875" defaultRowHeight="14.5" x14ac:dyDescent="0.35"/>
  <cols>
    <col min="1" max="1" width="20.81640625" customWidth="1"/>
    <col min="2" max="2" width="13.7265625" bestFit="1" customWidth="1"/>
  </cols>
  <sheetData>
    <row r="1" spans="1:9" x14ac:dyDescent="0.35">
      <c r="A1" t="s">
        <v>8</v>
      </c>
      <c r="B1" t="s">
        <v>9</v>
      </c>
    </row>
    <row r="2" spans="1:9" x14ac:dyDescent="0.35">
      <c r="A2" s="140">
        <f>Tabel1[[#Totals],[Emb. Energy - Primary process]]+Tabel1[[#Totals],[Emb. Energy - Secondary process]]</f>
        <v>0.10799279999999999</v>
      </c>
      <c r="B2" s="140">
        <f>Tabel1[[#Totals],[Emb. Energy - Material production]]+Tabel1[[#Totals],[Emb. Energy - Primary process]]+Tabel1[[#Totals],[Emb. Energy - Secondary process]]</f>
        <v>0.1457928</v>
      </c>
    </row>
    <row r="4" spans="1:9" x14ac:dyDescent="0.35">
      <c r="A4" t="s">
        <v>17</v>
      </c>
      <c r="B4" t="s">
        <v>18</v>
      </c>
    </row>
    <row r="5" spans="1:9" x14ac:dyDescent="0.35">
      <c r="A5" s="115">
        <f>Tabel5[[#Totals],[CO2 footprint - Primary process]]+Tabel5[[#Totals],[CO2 footprint - Secondary process]]</f>
        <v>3.989734E-3</v>
      </c>
      <c r="B5" s="115">
        <f>Tabel5[[#Totals],[CO2 footprint - Material production]]+Tabel5[[#Totals],[CO2 footprint - Primary process]]+Tabel5[[#Totals],[CO2 footprint - Secondary process]]</f>
        <v>9.3357339999999983E-3</v>
      </c>
    </row>
    <row r="6" spans="1:9" x14ac:dyDescent="0.35">
      <c r="E6" t="s">
        <v>13</v>
      </c>
      <c r="G6" s="3"/>
    </row>
    <row r="7" spans="1:9" x14ac:dyDescent="0.35">
      <c r="E7" t="s">
        <v>14</v>
      </c>
      <c r="F7" s="15"/>
      <c r="G7" s="3"/>
    </row>
    <row r="8" spans="1:9" x14ac:dyDescent="0.35">
      <c r="A8" s="42" t="s">
        <v>30</v>
      </c>
      <c r="B8" s="81" t="s">
        <v>51</v>
      </c>
      <c r="C8" s="81" t="s">
        <v>44</v>
      </c>
      <c r="G8" s="3"/>
    </row>
    <row r="9" spans="1:9" x14ac:dyDescent="0.35">
      <c r="A9" t="s">
        <v>31</v>
      </c>
      <c r="B9">
        <f>0.18/1000</f>
        <v>1.7999999999999998E-4</v>
      </c>
      <c r="C9">
        <v>7.1999999999999995E-2</v>
      </c>
      <c r="E9" s="84" t="s">
        <v>15</v>
      </c>
      <c r="I9" s="26"/>
    </row>
    <row r="10" spans="1:9" x14ac:dyDescent="0.35">
      <c r="A10" t="s">
        <v>32</v>
      </c>
      <c r="B10">
        <f>0.27/1000</f>
        <v>2.7E-4</v>
      </c>
      <c r="C10">
        <v>7.1999999999999995E-2</v>
      </c>
      <c r="E10" t="s">
        <v>16</v>
      </c>
    </row>
    <row r="11" spans="1:9" x14ac:dyDescent="0.35">
      <c r="A11" t="s">
        <v>33</v>
      </c>
      <c r="B11">
        <f>0.4/1000</f>
        <v>4.0000000000000002E-4</v>
      </c>
      <c r="C11">
        <v>7.1999999999999995E-2</v>
      </c>
    </row>
    <row r="12" spans="1:9" x14ac:dyDescent="0.35">
      <c r="A12" t="s">
        <v>34</v>
      </c>
      <c r="B12">
        <f>0.35/1000</f>
        <v>3.5E-4</v>
      </c>
      <c r="C12">
        <v>7.1999999999999995E-2</v>
      </c>
    </row>
    <row r="13" spans="1:9" x14ac:dyDescent="0.35">
      <c r="A13" t="s">
        <v>35</v>
      </c>
      <c r="B13">
        <f>0.71/1000</f>
        <v>7.0999999999999991E-4</v>
      </c>
      <c r="C13">
        <v>7.1999999999999995E-2</v>
      </c>
    </row>
    <row r="14" spans="1:9" x14ac:dyDescent="0.35">
      <c r="A14" t="s">
        <v>36</v>
      </c>
      <c r="B14">
        <f>0.82/1000</f>
        <v>8.1999999999999998E-4</v>
      </c>
      <c r="C14">
        <v>7.1999999999999995E-2</v>
      </c>
    </row>
    <row r="15" spans="1:9" x14ac:dyDescent="0.35">
      <c r="A15" t="s">
        <v>37</v>
      </c>
      <c r="B15">
        <f>0.94/1000</f>
        <v>9.3999999999999997E-4</v>
      </c>
      <c r="C15">
        <v>7.1999999999999995E-2</v>
      </c>
    </row>
    <row r="16" spans="1:9" x14ac:dyDescent="0.35">
      <c r="A16" t="s">
        <v>38</v>
      </c>
      <c r="B16">
        <f>1.1/1000</f>
        <v>1.1000000000000001E-3</v>
      </c>
      <c r="C16">
        <v>7.1999999999999995E-2</v>
      </c>
    </row>
    <row r="17" spans="1:3" x14ac:dyDescent="0.35">
      <c r="A17" t="s">
        <v>39</v>
      </c>
      <c r="B17">
        <f>1.5/1000</f>
        <v>1.5E-3</v>
      </c>
      <c r="C17">
        <v>7.1999999999999995E-2</v>
      </c>
    </row>
    <row r="18" spans="1:3" x14ac:dyDescent="0.35">
      <c r="A18" t="s">
        <v>40</v>
      </c>
      <c r="B18">
        <f>2.2/1000</f>
        <v>2.2000000000000001E-3</v>
      </c>
      <c r="C18">
        <v>7.1999999999999995E-2</v>
      </c>
    </row>
    <row r="19" spans="1:3" x14ac:dyDescent="0.35">
      <c r="A19" t="s">
        <v>41</v>
      </c>
      <c r="B19">
        <f>6.5/1000</f>
        <v>6.4999999999999997E-3</v>
      </c>
      <c r="C19">
        <v>7.1999999999999995E-2</v>
      </c>
    </row>
    <row r="20" spans="1:3" x14ac:dyDescent="0.35">
      <c r="A20" t="s">
        <v>42</v>
      </c>
      <c r="B20">
        <f>13/1000</f>
        <v>1.2999999999999999E-2</v>
      </c>
      <c r="C20">
        <v>7.1999999999999995E-2</v>
      </c>
    </row>
    <row r="21" spans="1:3" x14ac:dyDescent="0.35">
      <c r="A21" t="s">
        <v>43</v>
      </c>
      <c r="B21">
        <f>55/1000</f>
        <v>5.5E-2</v>
      </c>
      <c r="C21">
        <v>7.1999999999999995E-2</v>
      </c>
    </row>
    <row r="22" spans="1:3" x14ac:dyDescent="0.35">
      <c r="A22" t="s">
        <v>52</v>
      </c>
      <c r="B22">
        <v>0</v>
      </c>
      <c r="C22">
        <v>0</v>
      </c>
    </row>
  </sheetData>
  <hyperlinks>
    <hyperlink ref="E9" r:id="rId1" xr:uid="{DEF5104C-21E6-4053-8443-C180EC2172E0}"/>
  </hyperlinks>
  <pageMargins left="0.7" right="0.7" top="0.75" bottom="0.75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185668440CE654A996697B2995333A7" ma:contentTypeVersion="13" ma:contentTypeDescription="Create a new document." ma:contentTypeScope="" ma:versionID="82cd19e265778841f38d6593b0b158d4">
  <xsd:schema xmlns:xsd="http://www.w3.org/2001/XMLSchema" xmlns:xs="http://www.w3.org/2001/XMLSchema" xmlns:p="http://schemas.microsoft.com/office/2006/metadata/properties" xmlns:ns3="1897b2e3-4047-4e3b-b595-d168ebb501f5" xmlns:ns4="1b91b702-e8b4-44cf-95d0-bdeb1f444ed0" targetNamespace="http://schemas.microsoft.com/office/2006/metadata/properties" ma:root="true" ma:fieldsID="8e060a635c8cb7c77bacef8a003c4580" ns3:_="" ns4:_="">
    <xsd:import namespace="1897b2e3-4047-4e3b-b595-d168ebb501f5"/>
    <xsd:import namespace="1b91b702-e8b4-44cf-95d0-bdeb1f444ed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97b2e3-4047-4e3b-b595-d168ebb501f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91b702-e8b4-44cf-95d0-bdeb1f444ed0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82A8989-F50A-49EF-850C-C9C1696A06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97b2e3-4047-4e3b-b595-d168ebb501f5"/>
    <ds:schemaRef ds:uri="1b91b702-e8b4-44cf-95d0-bdeb1f444ed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119B914-0D2E-41D8-ACDE-DAB1CE4CE3C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5874739-AA6E-4E26-832D-08A68B92E47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C6BA7B4-AD72-41CE-AC15-C4BBE557706B}">
  <ds:schemaRefs>
    <ds:schemaRef ds:uri="http://purl.org/dc/dcmitype/"/>
    <ds:schemaRef ds:uri="1b91b702-e8b4-44cf-95d0-bdeb1f444ed0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1897b2e3-4047-4e3b-b595-d168ebb501f5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</vt:i4>
      </vt:variant>
      <vt:variant>
        <vt:lpstr>Navngivne områder</vt:lpstr>
      </vt:variant>
      <vt:variant>
        <vt:i4>1</vt:i4>
      </vt:variant>
    </vt:vector>
  </HeadingPairs>
  <TitlesOfParts>
    <vt:vector size="3" baseType="lpstr">
      <vt:lpstr>UI</vt:lpstr>
      <vt:lpstr>LIST</vt:lpstr>
      <vt:lpstr>dropdown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Dina Jacobsen</dc:creator>
  <cp:lastModifiedBy>Dina Jacobsen</cp:lastModifiedBy>
  <dcterms:created xsi:type="dcterms:W3CDTF">2021-04-03T09:30:35Z</dcterms:created>
  <dcterms:modified xsi:type="dcterms:W3CDTF">2022-09-12T11:56:22Z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0x010100A185668440CE654A996697B2995333A7</vt:lpwstr>
  </property>
</Properties>
</file>